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46279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45660</v>
      </c>
      <c r="E3" s="1" t="n">
        <v>46279</v>
      </c>
      <c r="F3" t="inlineStr">
        <is>
          <t>VÄSTRA GÖTALANDS LÄN</t>
        </is>
      </c>
      <c r="G3" t="inlineStr">
        <is>
          <t>SOTENÄS</t>
        </is>
      </c>
      <c r="I3" t="n">
        <v>8.9</v>
      </c>
      <c r="J3" t="n">
        <v>1</v>
      </c>
      <c r="K3" t="n">
        <v>0</v>
      </c>
      <c r="L3" t="n">
        <v>0</v>
      </c>
      <c r="M3" t="n">
        <v>0</v>
      </c>
      <c r="N3" t="n">
        <v>2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0</v>
      </c>
      <c r="V3" s="2" t="inlineStr">
        <is>
          <t>Ask
Skogsalm
Skogsödla</t>
        </is>
      </c>
      <c r="W3">
        <f>HYPERLINK("https://klasma.github.io/Logging_1427/artfynd/A 270-2025 artfynd.xlsx", "A 270-2025")</f>
        <v/>
      </c>
      <c r="X3">
        <f>HYPERLINK("https://klasma.github.io/Logging_1427/kartor/A 270-2025 karta.png", "A 270-2025")</f>
        <v/>
      </c>
      <c r="Y3">
        <f>HYPERLINK("https://klasma.github.io/Logging_1427/kartor_geotiff/A 270-2025 georefererad karta.tif", "A 270-2025")</f>
        <v/>
      </c>
      <c r="AA3">
        <f>HYPERLINK("https://klasma.github.io/Logging_1427/klagomål/A 270-2025 FSC-klagomål.docx", "A 270-2025")</f>
        <v/>
      </c>
      <c r="AB3">
        <f>HYPERLINK("https://klasma.github.io/Logging_1427/klagomålsmail/A 270-2025 FSC-klagomål mail.docx", "A 270-2025")</f>
        <v/>
      </c>
      <c r="AC3">
        <f>HYPERLINK("https://klasma.github.io/Logging_1427/tillsyn/A 270-2025 tillsynsbegäran.docx", "A 270-2025")</f>
        <v/>
      </c>
      <c r="AD3">
        <f>HYPERLINK("https://klasma.github.io/Logging_1427/tillsynsmail/A 270-2025 tillsynsbegäran mail.docx", "A 270-2025")</f>
        <v/>
      </c>
    </row>
    <row r="4" ht="15" customHeight="1">
      <c r="A4" t="inlineStr">
        <is>
          <t>A 24088-2025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46279</v>
      </c>
      <c r="F4" t="inlineStr">
        <is>
          <t>VÄSTRA GÖTALANDS LÄN</t>
        </is>
      </c>
      <c r="G4" t="inlineStr">
        <is>
          <t>SOTENÄS</t>
        </is>
      </c>
      <c r="I4" t="n">
        <v>2.8</v>
      </c>
      <c r="J4" t="n">
        <v>1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Tusengömming
Blåsippa</t>
        </is>
      </c>
      <c r="W4">
        <f>HYPERLINK("https://klasma.github.io/Logging_1427/artfynd/A 24088-2025 artfynd.xlsx", "A 24088-2025")</f>
        <v/>
      </c>
      <c r="X4">
        <f>HYPERLINK("https://klasma.github.io/Logging_1427/kartor/A 24088-2025 karta.png", "A 24088-2025")</f>
        <v/>
      </c>
      <c r="Y4">
        <f>HYPERLINK("https://klasma.github.io/Logging_1427/kartor_geotiff/A 24088-2025 georefererad karta.tif", "A 24088-2025")</f>
        <v/>
      </c>
      <c r="AA4">
        <f>HYPERLINK("https://klasma.github.io/Logging_1427/klagomål/A 24088-2025 FSC-klagomål.docx", "A 24088-2025")</f>
        <v/>
      </c>
      <c r="AB4">
        <f>HYPERLINK("https://klasma.github.io/Logging_1427/klagomålsmail/A 24088-2025 FSC-klagomål mail.docx", "A 24088-2025")</f>
        <v/>
      </c>
      <c r="AC4">
        <f>HYPERLINK("https://klasma.github.io/Logging_1427/tillsyn/A 24088-2025 tillsynsbegäran.docx", "A 24088-2025")</f>
        <v/>
      </c>
      <c r="AD4">
        <f>HYPERLINK("https://klasma.github.io/Logging_1427/tillsynsmail/A 24088-2025 tillsynsbegäran mail.docx", "A 24088-2025")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46279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46279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HYPERLINK("https://klasma.github.io/Logging_1427/artfynd/A 2980-2026 artfynd.xlsx", "A 2980-2026")</f>
        <v/>
      </c>
      <c r="X6">
        <f>HYPERLINK("https://klasma.github.io/Logging_1427/kartor/A 2980-2026 karta.png", "A 2980-2026")</f>
        <v/>
      </c>
      <c r="Y6">
        <f>HYPERLINK("https://klasma.github.io/Logging_1427/kartor_geotiff/A 2980-2026 georefererad karta.tif", "A 2980-2026")</f>
        <v/>
      </c>
      <c r="AA6">
        <f>HYPERLINK("https://klasma.github.io/Logging_1427/klagomål/A 2980-2026 FSC-klagomål.docx", "A 2980-2026")</f>
        <v/>
      </c>
      <c r="AB6">
        <f>HYPERLINK("https://klasma.github.io/Logging_1427/klagomålsmail/A 2980-2026 FSC-klagomål mail.docx", "A 2980-2026")</f>
        <v/>
      </c>
      <c r="AC6">
        <f>HYPERLINK("https://klasma.github.io/Logging_1427/tillsyn/A 2980-2026 tillsynsbegäran.docx", "A 2980-2026")</f>
        <v/>
      </c>
      <c r="AD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46279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46279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46279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17492-2024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45415</v>
      </c>
      <c r="E10" s="1" t="n">
        <v>46279</v>
      </c>
      <c r="F10" t="inlineStr">
        <is>
          <t>VÄSTRA GÖTALANDS LÄN</t>
        </is>
      </c>
      <c r="G10" t="inlineStr">
        <is>
          <t>SOTENÄS</t>
        </is>
      </c>
      <c r="I10" t="n">
        <v>7.7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28409-2024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45477</v>
      </c>
      <c r="E11" s="1" t="n">
        <v>46279</v>
      </c>
      <c r="F11" t="inlineStr">
        <is>
          <t>VÄSTRA GÖTALANDS LÄN</t>
        </is>
      </c>
      <c r="G11" t="inlineStr">
        <is>
          <t>SOTENÄS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46587-2024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45582</v>
      </c>
      <c r="E12" s="1" t="n">
        <v>46279</v>
      </c>
      <c r="F12" t="inlineStr">
        <is>
          <t>VÄSTRA GÖTALANDS LÄN</t>
        </is>
      </c>
      <c r="G12" t="inlineStr">
        <is>
          <t>SOTENÄS</t>
        </is>
      </c>
      <c r="I12" t="n">
        <v>2.8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46588-2024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45582</v>
      </c>
      <c r="E13" s="1" t="n">
        <v>46279</v>
      </c>
      <c r="F13" t="inlineStr">
        <is>
          <t>VÄSTRA GÖTALANDS LÄN</t>
        </is>
      </c>
      <c r="G13" t="inlineStr">
        <is>
          <t>SOTENÄS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28418-2024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45477</v>
      </c>
      <c r="E14" s="1" t="n">
        <v>46279</v>
      </c>
      <c r="F14" t="inlineStr">
        <is>
          <t>VÄSTRA GÖTALANDS LÄN</t>
        </is>
      </c>
      <c r="G14" t="inlineStr">
        <is>
          <t>SOTENÄS</t>
        </is>
      </c>
      <c r="I14" t="n">
        <v>0.2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52960-2025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45956</v>
      </c>
      <c r="E15" s="1" t="n">
        <v>46279</v>
      </c>
      <c r="F15" t="inlineStr">
        <is>
          <t>VÄSTRA GÖTALANDS LÄN</t>
        </is>
      </c>
      <c r="G15" t="inlineStr">
        <is>
          <t>SOTENÄS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4422-2024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45327</v>
      </c>
      <c r="E16" s="1" t="n">
        <v>46279</v>
      </c>
      <c r="F16" t="inlineStr">
        <is>
          <t>VÄSTRA GÖTALANDS LÄN</t>
        </is>
      </c>
      <c r="G16" t="inlineStr">
        <is>
          <t>SOTENÄS</t>
        </is>
      </c>
      <c r="I16" t="n">
        <v>4.5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22789-2026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46157</v>
      </c>
      <c r="E17" s="1" t="n">
        <v>46279</v>
      </c>
      <c r="F17" t="inlineStr">
        <is>
          <t>VÄSTRA GÖTALANDS LÄN</t>
        </is>
      </c>
      <c r="G17" t="inlineStr">
        <is>
          <t>SOTENÄS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59231-2024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45637</v>
      </c>
      <c r="E18" s="1" t="n">
        <v>46279</v>
      </c>
      <c r="F18" t="inlineStr">
        <is>
          <t>VÄSTRA GÖTALANDS LÄN</t>
        </is>
      </c>
      <c r="G18" t="inlineStr">
        <is>
          <t>SOTENÄS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46279</v>
      </c>
      <c r="F19" t="inlineStr">
        <is>
          <t>VÄSTRA GÖTALANDS LÄN</t>
        </is>
      </c>
      <c r="G19" t="inlineStr">
        <is>
          <t>SOTENÄS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49634-2024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45596</v>
      </c>
      <c r="E20" s="1" t="n">
        <v>46279</v>
      </c>
      <c r="F20" t="inlineStr">
        <is>
          <t>VÄSTRA GÖTALANDS LÄN</t>
        </is>
      </c>
      <c r="G20" t="inlineStr">
        <is>
          <t>SOTENÄS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49633-2024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46279</v>
      </c>
      <c r="F21" t="inlineStr">
        <is>
          <t>VÄSTRA GÖTALANDS LÄN</t>
        </is>
      </c>
      <c r="G21" t="inlineStr">
        <is>
          <t>SOTENÄS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36765-2026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46272</v>
      </c>
      <c r="E22" s="1" t="n">
        <v>46279</v>
      </c>
      <c r="F22" t="inlineStr">
        <is>
          <t>VÄSTRA GÖTALANDS LÄN</t>
        </is>
      </c>
      <c r="G22" t="inlineStr">
        <is>
          <t>SOTENÄS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46579-2024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45582</v>
      </c>
      <c r="E23" s="1" t="n">
        <v>46279</v>
      </c>
      <c r="F23" t="inlineStr">
        <is>
          <t>VÄSTRA GÖTALANDS LÄN</t>
        </is>
      </c>
      <c r="G23" t="inlineStr">
        <is>
          <t>SOTENÄS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28416-2024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45477</v>
      </c>
      <c r="E24" s="1" t="n">
        <v>46279</v>
      </c>
      <c r="F24" t="inlineStr">
        <is>
          <t>VÄSTRA GÖTALANDS LÄN</t>
        </is>
      </c>
      <c r="G24" t="inlineStr">
        <is>
          <t>SOTENÄS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17491-2024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45415</v>
      </c>
      <c r="E25" s="1" t="n">
        <v>46279</v>
      </c>
      <c r="F25" t="inlineStr">
        <is>
          <t>VÄSTRA GÖTALANDS LÄN</t>
        </is>
      </c>
      <c r="G25" t="inlineStr">
        <is>
          <t>SOTENÄS</t>
        </is>
      </c>
      <c r="I25" t="n">
        <v>6.2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50864-2022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44867</v>
      </c>
      <c r="E26" s="1" t="n">
        <v>46279</v>
      </c>
      <c r="F26" t="inlineStr">
        <is>
          <t>VÄSTRA GÖTALANDS LÄN</t>
        </is>
      </c>
      <c r="G26" t="inlineStr">
        <is>
          <t>SOTENÄS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24086-2025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45795</v>
      </c>
      <c r="E27" s="1" t="n">
        <v>46279</v>
      </c>
      <c r="F27" t="inlineStr">
        <is>
          <t>VÄSTRA GÖTALANDS LÄN</t>
        </is>
      </c>
      <c r="G27" t="inlineStr">
        <is>
          <t>SOTENÄS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>
      <c r="A28" t="inlineStr">
        <is>
          <t>S 2369-2025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45890</v>
      </c>
      <c r="E28" s="1" t="n">
        <v>46279</v>
      </c>
      <c r="F28" t="inlineStr">
        <is>
          <t>VÄSTRA GÖTALANDS LÄN</t>
        </is>
      </c>
      <c r="G28" t="inlineStr">
        <is>
          <t>SOTENÄS</t>
        </is>
      </c>
      <c r="H28" t="inlineStr">
        <is>
          <t>Kommuner</t>
        </is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2026-09-14T02:13:56Z</dcterms:created>
  <dcterms:modified xmlns:dcterms="http://purl.org/dc/terms/" xmlns:xsi="http://www.w3.org/2001/XMLSchema-instance" xsi:type="dcterms:W3CDTF">2026-09-14T02:13:56Z</dcterms:modified>
</cp:coreProperties>
</file>