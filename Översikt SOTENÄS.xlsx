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24088-2025</t>
        </is>
      </c>
      <c r="B2" s="1" t="n">
        <v>45795</v>
      </c>
      <c r="C2" s="1" t="n">
        <v>45812</v>
      </c>
      <c r="D2" t="inlineStr">
        <is>
          <t>VÄSTRA GÖTALANDS LÄN</t>
        </is>
      </c>
      <c r="E2" t="inlineStr">
        <is>
          <t>SOTENÄS</t>
        </is>
      </c>
      <c r="G2" t="n">
        <v>2.8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HYPERLINK("https://klasma.github.io/Logging_141427/artfynd/A 24088-2025 artfynd.xlsx", "A 24088-2025")</f>
        <v/>
      </c>
      <c r="T2">
        <f>HYPERLINK("https://klasma.github.io/Logging_141427/kartor/A 24088-2025 karta.png", "A 24088-2025")</f>
        <v/>
      </c>
      <c r="V2">
        <f>HYPERLINK("https://klasma.github.io/Logging_141427/klagomål/A 24088-2025 FSC-klagomål.docx", "A 24088-2025")</f>
        <v/>
      </c>
      <c r="W2">
        <f>HYPERLINK("https://klasma.github.io/Logging_141427/klagomålsmail/A 24088-2025 FSC-klagomål mail.docx", "A 24088-2025")</f>
        <v/>
      </c>
      <c r="X2">
        <f>HYPERLINK("https://klasma.github.io/Logging_141427/tillsyn/A 24088-2025 tillsynsbegäran.docx", "A 24088-2025")</f>
        <v/>
      </c>
      <c r="Y2">
        <f>HYPERLINK("https://klasma.github.io/Logging_141427/tillsynsmail/A 24088-2025 tillsynsbegäran mail.docx", "A 24088-2025")</f>
        <v/>
      </c>
    </row>
    <row r="3" ht="15" customHeight="1">
      <c r="A3" t="inlineStr">
        <is>
          <t>A 24036-2025</t>
        </is>
      </c>
      <c r="B3" s="1" t="n">
        <v>45795</v>
      </c>
      <c r="C3" s="1" t="n">
        <v>45812</v>
      </c>
      <c r="D3" t="inlineStr">
        <is>
          <t>VÄSTRA GÖTALANDS LÄN</t>
        </is>
      </c>
      <c r="E3" t="inlineStr">
        <is>
          <t>SOTENÄS</t>
        </is>
      </c>
      <c r="G3" t="n">
        <v>37.1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Kopparödla</t>
        </is>
      </c>
      <c r="S3">
        <f>HYPERLINK("https://klasma.github.io/Logging_141427/artfynd/A 24036-2025 artfynd.xlsx", "A 24036-2025")</f>
        <v/>
      </c>
      <c r="T3">
        <f>HYPERLINK("https://klasma.github.io/Logging_141427/kartor/A 24036-2025 karta.png", "A 24036-2025")</f>
        <v/>
      </c>
      <c r="V3">
        <f>HYPERLINK("https://klasma.github.io/Logging_141427/klagomål/A 24036-2025 FSC-klagomål.docx", "A 24036-2025")</f>
        <v/>
      </c>
      <c r="W3">
        <f>HYPERLINK("https://klasma.github.io/Logging_141427/klagomålsmail/A 24036-2025 FSC-klagomål mail.docx", "A 24036-2025")</f>
        <v/>
      </c>
      <c r="X3">
        <f>HYPERLINK("https://klasma.github.io/Logging_141427/tillsyn/A 24036-2025 tillsynsbegäran.docx", "A 24036-2025")</f>
        <v/>
      </c>
      <c r="Y3">
        <f>HYPERLINK("https://klasma.github.io/Logging_141427/tillsynsmail/A 24036-2025 tillsynsbegäran mail.docx", "A 24036-2025")</f>
        <v/>
      </c>
    </row>
    <row r="4" ht="15" customHeight="1">
      <c r="A4" t="inlineStr">
        <is>
          <t>A 24087-2025</t>
        </is>
      </c>
      <c r="B4" s="1" t="n">
        <v>45795</v>
      </c>
      <c r="C4" s="1" t="n">
        <v>45812</v>
      </c>
      <c r="D4" t="inlineStr">
        <is>
          <t>VÄSTRA GÖTALANDS LÄN</t>
        </is>
      </c>
      <c r="E4" t="inlineStr">
        <is>
          <t>SOTENÄS</t>
        </is>
      </c>
      <c r="G4" t="n">
        <v>30.3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Rödlånke</t>
        </is>
      </c>
      <c r="S4">
        <f>HYPERLINK("https://klasma.github.io/Logging_141427/artfynd/A 24087-2025 artfynd.xlsx", "A 24087-2025")</f>
        <v/>
      </c>
      <c r="T4">
        <f>HYPERLINK("https://klasma.github.io/Logging_141427/kartor/A 24087-2025 karta.png", "A 24087-2025")</f>
        <v/>
      </c>
      <c r="V4">
        <f>HYPERLINK("https://klasma.github.io/Logging_141427/klagomål/A 24087-2025 FSC-klagomål.docx", "A 24087-2025")</f>
        <v/>
      </c>
      <c r="W4">
        <f>HYPERLINK("https://klasma.github.io/Logging_141427/klagomålsmail/A 24087-2025 FSC-klagomål mail.docx", "A 24087-2025")</f>
        <v/>
      </c>
      <c r="X4">
        <f>HYPERLINK("https://klasma.github.io/Logging_141427/tillsyn/A 24087-2025 tillsynsbegäran.docx", "A 24087-2025")</f>
        <v/>
      </c>
      <c r="Y4">
        <f>HYPERLINK("https://klasma.github.io/Logging_141427/tillsynsmail/A 24087-2025 tillsynsbegäran mail.docx", "A 24087-2025")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45812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45812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45812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45812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45812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45812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45812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45812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45812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45812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45812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45812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45812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45812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45812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45812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45812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45812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45812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45812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45812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45812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45812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45812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45812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45812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45812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45812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45812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45812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45812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45812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45812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45812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45812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45812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45812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45812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45812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45812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45812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45812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45812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45812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45812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45812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45812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45812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45812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23503-2025</t>
        </is>
      </c>
      <c r="B54" s="1" t="n">
        <v>45795</v>
      </c>
      <c r="C54" s="1" t="n">
        <v>45812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2025-06-04T18:13:33Z</dcterms:created>
  <dcterms:modified xmlns:dcterms="http://purl.org/dc/terms/" xmlns:xsi="http://www.w3.org/2001/XMLSchema-instance" xsi:type="dcterms:W3CDTF">2025-06-04T18:13:33Z</dcterms:modified>
</cp:coreProperties>
</file>