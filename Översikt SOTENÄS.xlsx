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24088-2025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46234</v>
      </c>
      <c r="F2" t="inlineStr">
        <is>
          <t>VÄSTRA GÖTALANDS LÄN</t>
        </is>
      </c>
      <c r="G2" t="inlineStr">
        <is>
          <t>SOTENÄS</t>
        </is>
      </c>
      <c r="I2" t="n">
        <v>2.8</v>
      </c>
      <c r="J2" t="n">
        <v>1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3</v>
      </c>
      <c r="T2" t="n">
        <v>3</v>
      </c>
      <c r="U2" t="n">
        <v>0</v>
      </c>
      <c r="V2" s="2" t="inlineStr">
        <is>
          <t>Ask
Tusengömming
Blåsippa</t>
        </is>
      </c>
      <c r="W2">
        <f>HYPERLINK("https://klasma.github.io/Logging_1427/artfynd/A 24088-2025 artfynd.xlsx", "A 24088-2025")</f>
        <v/>
      </c>
      <c r="X2">
        <f>HYPERLINK("https://klasma.github.io/Logging_1427/kartor/A 24088-2025 karta.png", "A 24088-2025")</f>
        <v/>
      </c>
      <c r="Y2">
        <f>HYPERLINK("https://klasma.github.io/Logging_1427/kartor_geotiff/A 24088-2025 georefererad karta.tif", "A 24088-2025")</f>
        <v/>
      </c>
      <c r="AA2">
        <f>HYPERLINK("https://klasma.github.io/Logging_1427/klagomål/A 24088-2025 FSC-klagomål.docx", "A 24088-2025")</f>
        <v/>
      </c>
      <c r="AB2">
        <f>HYPERLINK("https://klasma.github.io/Logging_1427/klagomålsmail/A 24088-2025 FSC-klagomål mail.docx", "A 24088-2025")</f>
        <v/>
      </c>
      <c r="AC2">
        <f>HYPERLINK("https://klasma.github.io/Logging_1427/tillsyn/A 24088-2025 tillsynsbegäran.docx", "A 24088-2025")</f>
        <v/>
      </c>
      <c r="AD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46234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46234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46234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46234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50239-2022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44865</v>
      </c>
      <c r="E7" s="1" t="n">
        <v>46234</v>
      </c>
      <c r="F7" t="inlineStr">
        <is>
          <t>VÄSTRA GÖTALANDS LÄN</t>
        </is>
      </c>
      <c r="G7" t="inlineStr">
        <is>
          <t>SOTENÄS</t>
        </is>
      </c>
      <c r="I7" t="n">
        <v>13.2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Blockskapania</t>
        </is>
      </c>
      <c r="W7">
        <f>HYPERLINK("https://klasma.github.io/Logging_1427/artfynd/A 50239-2022 artfynd.xlsx", "A 50239-2022")</f>
        <v/>
      </c>
      <c r="X7">
        <f>HYPERLINK("https://klasma.github.io/Logging_1427/kartor/A 50239-2022 karta.png", "A 50239-2022")</f>
        <v/>
      </c>
      <c r="Y7">
        <f>HYPERLINK("https://klasma.github.io/Logging_1427/kartor_geotiff/A 50239-2022 georefererad karta.tif", "A 50239-2022")</f>
        <v/>
      </c>
      <c r="AA7">
        <f>HYPERLINK("https://klasma.github.io/Logging_1427/klagomål/A 50239-2022 FSC-klagomål.docx", "A 50239-2022")</f>
        <v/>
      </c>
      <c r="AB7">
        <f>HYPERLINK("https://klasma.github.io/Logging_1427/klagomålsmail/A 50239-2022 FSC-klagomål mail.docx", "A 50239-2022")</f>
        <v/>
      </c>
      <c r="AC7">
        <f>HYPERLINK("https://klasma.github.io/Logging_1427/tillsyn/A 50239-2022 tillsynsbegäran.docx", "A 50239-2022")</f>
        <v/>
      </c>
      <c r="AD7">
        <f>HYPERLINK("https://klasma.github.io/Logging_1427/tillsynsmail/A 50239-2022 tillsynsbegäran mail.docx", "A 50239-2022")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46234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46234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46234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46234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17491-2024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46234</v>
      </c>
      <c r="F13" t="inlineStr">
        <is>
          <t>VÄSTRA GÖTALANDS LÄN</t>
        </is>
      </c>
      <c r="G13" t="inlineStr">
        <is>
          <t>SOTENÄS</t>
        </is>
      </c>
      <c r="I13" t="n">
        <v>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46234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50864-2022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44867</v>
      </c>
      <c r="E15" s="1" t="n">
        <v>46234</v>
      </c>
      <c r="F15" t="inlineStr">
        <is>
          <t>VÄSTRA GÖTALANDS LÄN</t>
        </is>
      </c>
      <c r="G15" t="inlineStr">
        <is>
          <t>SOTENÄS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24086-2025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45795</v>
      </c>
      <c r="E16" s="1" t="n">
        <v>46234</v>
      </c>
      <c r="F16" t="inlineStr">
        <is>
          <t>VÄSTRA GÖTALANDS LÄN</t>
        </is>
      </c>
      <c r="G16" t="inlineStr">
        <is>
          <t>SOTENÄS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49633-2024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45596</v>
      </c>
      <c r="E17" s="1" t="n">
        <v>46234</v>
      </c>
      <c r="F17" t="inlineStr">
        <is>
          <t>VÄSTRA GÖTALANDS LÄN</t>
        </is>
      </c>
      <c r="G17" t="inlineStr">
        <is>
          <t>SOTENÄS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46234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46234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46234</v>
      </c>
      <c r="F20" t="inlineStr">
        <is>
          <t>VÄSTRA GÖTALANDS LÄN</t>
        </is>
      </c>
      <c r="G20" t="inlineStr">
        <is>
          <t>SOTENÄS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28409-2024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46234</v>
      </c>
      <c r="F21" t="inlineStr">
        <is>
          <t>VÄSTRA GÖTALANDS LÄN</t>
        </is>
      </c>
      <c r="G21" t="inlineStr">
        <is>
          <t>SOTENÄS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46234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17492-2024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45415</v>
      </c>
      <c r="E23" s="1" t="n">
        <v>46234</v>
      </c>
      <c r="F23" t="inlineStr">
        <is>
          <t>VÄSTRA GÖTALANDS LÄN</t>
        </is>
      </c>
      <c r="G23" t="inlineStr">
        <is>
          <t>SOTENÄS</t>
        </is>
      </c>
      <c r="I23" t="n">
        <v>7.7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46234</v>
      </c>
      <c r="F24" t="inlineStr">
        <is>
          <t>VÄSTRA GÖTALANDS LÄN</t>
        </is>
      </c>
      <c r="G24" t="inlineStr">
        <is>
          <t>SOTENÄS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46234</v>
      </c>
      <c r="F25" t="inlineStr">
        <is>
          <t>VÄSTRA GÖTALANDS LÄN</t>
        </is>
      </c>
      <c r="G25" t="inlineStr">
        <is>
          <t>SOTENÄS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46234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46234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46234</v>
      </c>
      <c r="F28" t="inlineStr">
        <is>
          <t>VÄSTRA GÖTALANDS LÄN</t>
        </is>
      </c>
      <c r="G28" t="inlineStr">
        <is>
          <t>SOTENÄS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46234</v>
      </c>
      <c r="F29" t="inlineStr">
        <is>
          <t>VÄSTRA GÖTALANDS LÄN</t>
        </is>
      </c>
      <c r="G29" t="inlineStr">
        <is>
          <t>SOTENÄS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46234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2026-07-31T01:51:22Z</dcterms:created>
  <dcterms:modified xmlns:dcterms="http://purl.org/dc/terms/" xmlns:xsi="http://www.w3.org/2001/XMLSchema-instance" xsi:type="dcterms:W3CDTF">2026-07-31T01:51:22Z</dcterms:modified>
</cp:coreProperties>
</file>