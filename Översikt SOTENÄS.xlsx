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270-2025</t>
        </is>
      </c>
      <c r="B2" s="1" t="n">
        <v>45660</v>
      </c>
      <c r="C2" s="1" t="n">
        <v>46193</v>
      </c>
      <c r="D2" t="inlineStr">
        <is>
          <t>VÄSTRA GÖTALANDS LÄN</t>
        </is>
      </c>
      <c r="E2" t="inlineStr">
        <is>
          <t>SOTENÄS</t>
        </is>
      </c>
      <c r="G2" t="n">
        <v>8.9</v>
      </c>
      <c r="H2" t="n">
        <v>1</v>
      </c>
      <c r="I2" t="n">
        <v>0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Ask
Skogsalm
Skogsödla</t>
        </is>
      </c>
      <c r="S2">
        <f>HYPERLINK("https://klasma.github.io/Logging_1427/artfynd/A 270-2025 artfynd.xlsx", "A 270-2025")</f>
        <v/>
      </c>
      <c r="T2">
        <f>HYPERLINK("https://klasma.github.io/Logging_1427/kartor/A 270-2025 karta.png", "A 270-2025")</f>
        <v/>
      </c>
      <c r="V2">
        <f>HYPERLINK("https://klasma.github.io/Logging_1427/klagomål/A 270-2025 FSC-klagomål.docx", "A 270-2025")</f>
        <v/>
      </c>
      <c r="W2">
        <f>HYPERLINK("https://klasma.github.io/Logging_1427/klagomålsmail/A 270-2025 FSC-klagomål mail.docx", "A 270-2025")</f>
        <v/>
      </c>
      <c r="X2">
        <f>HYPERLINK("https://klasma.github.io/Logging_1427/tillsyn/A 270-2025 tillsynsbegäran.docx", "A 270-2025")</f>
        <v/>
      </c>
      <c r="Y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46193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Tusengömming
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46193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Kopparödla
Skogsödla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s="1" t="n">
        <v>44865</v>
      </c>
      <c r="C5" s="1" t="n">
        <v>46193</v>
      </c>
      <c r="D5" t="inlineStr">
        <is>
          <t>VÄSTRA GÖTALANDS LÄN</t>
        </is>
      </c>
      <c r="E5" t="inlineStr">
        <is>
          <t>SOTENÄS</t>
        </is>
      </c>
      <c r="G5" t="n">
        <v>13.2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Blockskapania</t>
        </is>
      </c>
      <c r="S5">
        <f>HYPERLINK("https://klasma.github.io/Logging_1427/artfynd/A 50239-2022 artfynd.xlsx", "A 50239-2022")</f>
        <v/>
      </c>
      <c r="T5">
        <f>HYPERLINK("https://klasma.github.io/Logging_1427/kartor/A 50239-2022 karta.png", "A 50239-2022")</f>
        <v/>
      </c>
      <c r="V5">
        <f>HYPERLINK("https://klasma.github.io/Logging_1427/klagomål/A 50239-2022 FSC-klagomål.docx", "A 50239-2022")</f>
        <v/>
      </c>
      <c r="W5">
        <f>HYPERLINK("https://klasma.github.io/Logging_1427/klagomålsmail/A 50239-2022 FSC-klagomål mail.docx", "A 50239-2022")</f>
        <v/>
      </c>
      <c r="X5">
        <f>HYPERLINK("https://klasma.github.io/Logging_1427/tillsyn/A 50239-2022 tillsynsbegäran.docx", "A 50239-2022")</f>
        <v/>
      </c>
      <c r="Y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s="1" t="n">
        <v>45795</v>
      </c>
      <c r="C6" s="1" t="n">
        <v>46193</v>
      </c>
      <c r="D6" t="inlineStr">
        <is>
          <t>VÄSTRA GÖTALANDS LÄN</t>
        </is>
      </c>
      <c r="E6" t="inlineStr">
        <is>
          <t>SOTENÄS</t>
        </is>
      </c>
      <c r="G6" t="n">
        <v>30.3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HYPERLINK("https://klasma.github.io/Logging_1427/artfynd/A 24087-2025 artfynd.xlsx", "A 24087-2025")</f>
        <v/>
      </c>
      <c r="T6">
        <f>HYPERLINK("https://klasma.github.io/Logging_1427/kartor/A 24087-2025 karta.png", "A 24087-2025")</f>
        <v/>
      </c>
      <c r="V6">
        <f>HYPERLINK("https://klasma.github.io/Logging_1427/klagomål/A 24087-2025 FSC-klagomål.docx", "A 24087-2025")</f>
        <v/>
      </c>
      <c r="W6">
        <f>HYPERLINK("https://klasma.github.io/Logging_1427/klagomålsmail/A 24087-2025 FSC-klagomål mail.docx", "A 24087-2025")</f>
        <v/>
      </c>
      <c r="X6">
        <f>HYPERLINK("https://klasma.github.io/Logging_1427/tillsyn/A 24087-2025 tillsynsbegäran.docx", "A 24087-2025")</f>
        <v/>
      </c>
      <c r="Y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s="1" t="n">
        <v>45795</v>
      </c>
      <c r="C7" s="1" t="n">
        <v>46193</v>
      </c>
      <c r="D7" t="inlineStr">
        <is>
          <t>VÄSTRA GÖTALANDS LÄN</t>
        </is>
      </c>
      <c r="E7" t="inlineStr">
        <is>
          <t>SOTENÄS</t>
        </is>
      </c>
      <c r="G7" t="n">
        <v>14.1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Åkergroda</t>
        </is>
      </c>
      <c r="S7">
        <f>HYPERLINK("https://klasma.github.io/Logging_1427/artfynd/A 23503-2025 artfynd.xlsx", "A 23503-2025")</f>
        <v/>
      </c>
      <c r="T7">
        <f>HYPERLINK("https://klasma.github.io/Logging_1427/kartor/A 23503-2025 karta.png", "A 23503-2025")</f>
        <v/>
      </c>
      <c r="V7">
        <f>HYPERLINK("https://klasma.github.io/Logging_1427/klagomål/A 23503-2025 FSC-klagomål.docx", "A 23503-2025")</f>
        <v/>
      </c>
      <c r="W7">
        <f>HYPERLINK("https://klasma.github.io/Logging_1427/klagomålsmail/A 23503-2025 FSC-klagomål mail.docx", "A 23503-2025")</f>
        <v/>
      </c>
      <c r="X7">
        <f>HYPERLINK("https://klasma.github.io/Logging_1427/tillsyn/A 23503-2025 tillsynsbegäran.docx", "A 23503-2025")</f>
        <v/>
      </c>
      <c r="Y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s="1" t="n">
        <v>46038</v>
      </c>
      <c r="C8" s="1" t="n">
        <v>46193</v>
      </c>
      <c r="D8" t="inlineStr">
        <is>
          <t>VÄSTRA GÖTALANDS LÄN</t>
        </is>
      </c>
      <c r="E8" t="inlineStr">
        <is>
          <t>SOTENÄS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HYPERLINK("https://klasma.github.io/Logging_1427/artfynd/A 2980-2026 artfynd.xlsx", "A 2980-2026")</f>
        <v/>
      </c>
      <c r="T8">
        <f>HYPERLINK("https://klasma.github.io/Logging_1427/kartor/A 2980-2026 karta.png", "A 2980-2026")</f>
        <v/>
      </c>
      <c r="V8">
        <f>HYPERLINK("https://klasma.github.io/Logging_1427/klagomål/A 2980-2026 FSC-klagomål.docx", "A 2980-2026")</f>
        <v/>
      </c>
      <c r="W8">
        <f>HYPERLINK("https://klasma.github.io/Logging_1427/klagomålsmail/A 2980-2026 FSC-klagomål mail.docx", "A 2980-2026")</f>
        <v/>
      </c>
      <c r="X8">
        <f>HYPERLINK("https://klasma.github.io/Logging_1427/tillsyn/A 2980-2026 tillsynsbegäran.docx", "A 2980-2026")</f>
        <v/>
      </c>
      <c r="Y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s="1" t="n">
        <v>44886</v>
      </c>
      <c r="C9" s="1" t="n">
        <v>46193</v>
      </c>
      <c r="D9" t="inlineStr">
        <is>
          <t>VÄSTRA GÖTALANDS LÄN</t>
        </is>
      </c>
      <c r="E9" t="inlineStr">
        <is>
          <t>SOTENÄS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43053-2021</t>
        </is>
      </c>
      <c r="B10" s="1" t="n">
        <v>44431</v>
      </c>
      <c r="C10" s="1" t="n">
        <v>46193</v>
      </c>
      <c r="D10" t="inlineStr">
        <is>
          <t>VÄSTRA GÖTALANDS LÄN</t>
        </is>
      </c>
      <c r="E10" t="inlineStr">
        <is>
          <t>SOTENÄS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43056-2021</t>
        </is>
      </c>
      <c r="B11" s="1" t="n">
        <v>44431</v>
      </c>
      <c r="C11" s="1" t="n">
        <v>46193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49634-2024</t>
        </is>
      </c>
      <c r="B12" s="1" t="n">
        <v>45596</v>
      </c>
      <c r="C12" s="1" t="n">
        <v>46193</v>
      </c>
      <c r="D12" t="inlineStr">
        <is>
          <t>VÄSTRA GÖTALANDS LÄN</t>
        </is>
      </c>
      <c r="E12" t="inlineStr">
        <is>
          <t>SOTENÄS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46193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</v>
      </c>
      <c r="C14" s="1" t="n">
        <v>46193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</v>
      </c>
      <c r="C15" s="1" t="n">
        <v>46193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</v>
      </c>
      <c r="C16" s="1" t="n">
        <v>46193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</v>
      </c>
      <c r="C17" s="1" t="n">
        <v>46193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</v>
      </c>
      <c r="C18" s="1" t="n">
        <v>46193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</v>
      </c>
      <c r="C19" s="1" t="n">
        <v>46193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</v>
      </c>
      <c r="C20" s="1" t="n">
        <v>46193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</v>
      </c>
      <c r="C21" s="1" t="n">
        <v>46193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</v>
      </c>
      <c r="C22" s="1" t="n">
        <v>46193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</v>
      </c>
      <c r="C23" s="1" t="n">
        <v>46193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</v>
      </c>
      <c r="C24" s="1" t="n">
        <v>46193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46193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4422-2024</t>
        </is>
      </c>
      <c r="B26" s="1" t="n">
        <v>45327</v>
      </c>
      <c r="C26" s="1" t="n">
        <v>46193</v>
      </c>
      <c r="D26" t="inlineStr">
        <is>
          <t>VÄSTRA GÖTALANDS LÄN</t>
        </is>
      </c>
      <c r="E26" t="inlineStr">
        <is>
          <t>SOTENÄS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46193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46193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27005-2026</t>
        </is>
      </c>
      <c r="B29" s="1" t="n">
        <v>46185</v>
      </c>
      <c r="C29" s="1" t="n">
        <v>46193</v>
      </c>
      <c r="D29" t="inlineStr">
        <is>
          <t>VÄSTRA GÖTALANDS LÄN</t>
        </is>
      </c>
      <c r="E29" t="inlineStr">
        <is>
          <t>SOTENÄS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</v>
      </c>
      <c r="C30" s="1" t="n">
        <v>46193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</v>
      </c>
      <c r="C31" s="1" t="n">
        <v>46193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</v>
      </c>
      <c r="C32" s="1" t="n">
        <v>46193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22789-2026</t>
        </is>
      </c>
      <c r="B33" s="1" t="n">
        <v>46157</v>
      </c>
      <c r="C33" s="1" t="n">
        <v>46193</v>
      </c>
      <c r="D33" t="inlineStr">
        <is>
          <t>VÄSTRA GÖTALANDS LÄN</t>
        </is>
      </c>
      <c r="E33" t="inlineStr">
        <is>
          <t>SOTENÄS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16004-2026</t>
        </is>
      </c>
      <c r="B34" s="1" t="n">
        <v>46108</v>
      </c>
      <c r="C34" s="1" t="n">
        <v>46193</v>
      </c>
      <c r="D34" t="inlineStr">
        <is>
          <t>VÄSTRA GÖTALANDS LÄN</t>
        </is>
      </c>
      <c r="E34" t="inlineStr">
        <is>
          <t>SOTENÄS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19356-2026</t>
        </is>
      </c>
      <c r="B35" s="1" t="n">
        <v>46133</v>
      </c>
      <c r="C35" s="1" t="n">
        <v>46193</v>
      </c>
      <c r="D35" t="inlineStr">
        <is>
          <t>VÄSTRA GÖTALANDS LÄN</t>
        </is>
      </c>
      <c r="E35" t="inlineStr">
        <is>
          <t>SOTENÄS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2026-06-20T00:43:31Z</dcterms:created>
  <dcterms:modified xmlns:dcterms="http://purl.org/dc/terms/" xmlns:xsi="http://www.w3.org/2001/XMLSchema-instance" xsi:type="dcterms:W3CDTF">2026-06-20T00:43:31Z</dcterms:modified>
</cp:coreProperties>
</file>