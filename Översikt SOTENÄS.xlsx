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24088-2025</t>
        </is>
      </c>
      <c r="B2" s="1" t="n">
        <v>45795</v>
      </c>
      <c r="C2" s="1" t="n">
        <v>46196</v>
      </c>
      <c r="D2" t="inlineStr">
        <is>
          <t>VÄSTRA GÖTALANDS LÄN</t>
        </is>
      </c>
      <c r="E2" t="inlineStr">
        <is>
          <t>SOTENÄS</t>
        </is>
      </c>
      <c r="G2" t="n">
        <v>2.8</v>
      </c>
      <c r="H2" t="n">
        <v>1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Tusengömming
Blåsippa</t>
        </is>
      </c>
      <c r="S2">
        <f>HYPERLINK("https://klasma.github.io/Logging_1427/artfynd/A 24088-2025 artfynd.xlsx", "A 24088-2025")</f>
        <v/>
      </c>
      <c r="T2">
        <f>HYPERLINK("https://klasma.github.io/Logging_1427/kartor/A 24088-2025 karta.png", "A 24088-2025")</f>
        <v/>
      </c>
      <c r="V2">
        <f>HYPERLINK("https://klasma.github.io/Logging_1427/klagomål/A 24088-2025 FSC-klagomål.docx", "A 24088-2025")</f>
        <v/>
      </c>
      <c r="W2">
        <f>HYPERLINK("https://klasma.github.io/Logging_1427/klagomålsmail/A 24088-2025 FSC-klagomål mail.docx", "A 24088-2025")</f>
        <v/>
      </c>
      <c r="X2">
        <f>HYPERLINK("https://klasma.github.io/Logging_1427/tillsyn/A 24088-2025 tillsynsbegäran.docx", "A 24088-2025")</f>
        <v/>
      </c>
      <c r="Y2">
        <f>HYPERLINK("https://klasma.github.io/Logging_1427/tillsynsmail/A 24088-2025 tillsynsbegäran mail.docx", "A 24088-2025")</f>
        <v/>
      </c>
    </row>
    <row r="3" ht="15" customHeight="1">
      <c r="A3" t="inlineStr">
        <is>
          <t>A 270-2025</t>
        </is>
      </c>
      <c r="B3" s="1" t="n">
        <v>45660</v>
      </c>
      <c r="C3" s="1" t="n">
        <v>46196</v>
      </c>
      <c r="D3" t="inlineStr">
        <is>
          <t>VÄSTRA GÖTALANDS LÄN</t>
        </is>
      </c>
      <c r="E3" t="inlineStr">
        <is>
          <t>SOTENÄS</t>
        </is>
      </c>
      <c r="G3" t="n">
        <v>8.9</v>
      </c>
      <c r="H3" t="n">
        <v>1</v>
      </c>
      <c r="I3" t="n">
        <v>0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Ask
Skogsalm
Skogsödla</t>
        </is>
      </c>
      <c r="S3">
        <f>HYPERLINK("https://klasma.github.io/Logging_1427/artfynd/A 270-2025 artfynd.xlsx", "A 270-2025")</f>
        <v/>
      </c>
      <c r="T3">
        <f>HYPERLINK("https://klasma.github.io/Logging_1427/kartor/A 270-2025 karta.png", "A 270-2025")</f>
        <v/>
      </c>
      <c r="V3">
        <f>HYPERLINK("https://klasma.github.io/Logging_1427/klagomål/A 270-2025 FSC-klagomål.docx", "A 270-2025")</f>
        <v/>
      </c>
      <c r="W3">
        <f>HYPERLINK("https://klasma.github.io/Logging_1427/klagomålsmail/A 270-2025 FSC-klagomål mail.docx", "A 270-2025")</f>
        <v/>
      </c>
      <c r="X3">
        <f>HYPERLINK("https://klasma.github.io/Logging_1427/tillsyn/A 270-2025 tillsynsbegäran.docx", "A 270-2025")</f>
        <v/>
      </c>
      <c r="Y3">
        <f>HYPERLINK("https://klasma.github.io/Logging_1427/tillsynsmail/A 270-2025 tillsynsbegäran mail.docx", "A 270-2025")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46196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Kopparödla
Skogsödla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24087-2025</t>
        </is>
      </c>
      <c r="B5" s="1" t="n">
        <v>45795</v>
      </c>
      <c r="C5" s="1" t="n">
        <v>46196</v>
      </c>
      <c r="D5" t="inlineStr">
        <is>
          <t>VÄSTRA GÖTALANDS LÄN</t>
        </is>
      </c>
      <c r="E5" t="inlineStr">
        <is>
          <t>SOTENÄS</t>
        </is>
      </c>
      <c r="G5" t="n">
        <v>30.3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Rödlånke</t>
        </is>
      </c>
      <c r="S5">
        <f>HYPERLINK("https://klasma.github.io/Logging_1427/artfynd/A 24087-2025 artfynd.xlsx", "A 24087-2025")</f>
        <v/>
      </c>
      <c r="T5">
        <f>HYPERLINK("https://klasma.github.io/Logging_1427/kartor/A 24087-2025 karta.png", "A 24087-2025")</f>
        <v/>
      </c>
      <c r="V5">
        <f>HYPERLINK("https://klasma.github.io/Logging_1427/klagomål/A 24087-2025 FSC-klagomål.docx", "A 24087-2025")</f>
        <v/>
      </c>
      <c r="W5">
        <f>HYPERLINK("https://klasma.github.io/Logging_1427/klagomålsmail/A 24087-2025 FSC-klagomål mail.docx", "A 24087-2025")</f>
        <v/>
      </c>
      <c r="X5">
        <f>HYPERLINK("https://klasma.github.io/Logging_1427/tillsyn/A 24087-2025 tillsynsbegäran.docx", "A 24087-2025")</f>
        <v/>
      </c>
      <c r="Y5">
        <f>HYPERLINK("https://klasma.github.io/Logging_1427/tillsynsmail/A 24087-2025 tillsynsbegäran mail.docx", "A 24087-2025")</f>
        <v/>
      </c>
    </row>
    <row r="6" ht="15" customHeight="1">
      <c r="A6" t="inlineStr">
        <is>
          <t>A 23503-2025</t>
        </is>
      </c>
      <c r="B6" s="1" t="n">
        <v>45795</v>
      </c>
      <c r="C6" s="1" t="n">
        <v>46196</v>
      </c>
      <c r="D6" t="inlineStr">
        <is>
          <t>VÄSTRA GÖTALANDS LÄN</t>
        </is>
      </c>
      <c r="E6" t="inlineStr">
        <is>
          <t>SOTENÄS</t>
        </is>
      </c>
      <c r="G6" t="n">
        <v>14.1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Åkergroda</t>
        </is>
      </c>
      <c r="S6">
        <f>HYPERLINK("https://klasma.github.io/Logging_1427/artfynd/A 23503-2025 artfynd.xlsx", "A 23503-2025")</f>
        <v/>
      </c>
      <c r="T6">
        <f>HYPERLINK("https://klasma.github.io/Logging_1427/kartor/A 23503-2025 karta.png", "A 23503-2025")</f>
        <v/>
      </c>
      <c r="V6">
        <f>HYPERLINK("https://klasma.github.io/Logging_1427/klagomål/A 23503-2025 FSC-klagomål.docx", "A 23503-2025")</f>
        <v/>
      </c>
      <c r="W6">
        <f>HYPERLINK("https://klasma.github.io/Logging_1427/klagomålsmail/A 23503-2025 FSC-klagomål mail.docx", "A 23503-2025")</f>
        <v/>
      </c>
      <c r="X6">
        <f>HYPERLINK("https://klasma.github.io/Logging_1427/tillsyn/A 23503-2025 tillsynsbegäran.docx", "A 23503-2025")</f>
        <v/>
      </c>
      <c r="Y6">
        <f>HYPERLINK("https://klasma.github.io/Logging_1427/tillsynsmail/A 23503-2025 tillsynsbegäran mail.docx", "A 23503-2025")</f>
        <v/>
      </c>
    </row>
    <row r="7" ht="15" customHeight="1">
      <c r="A7" t="inlineStr">
        <is>
          <t>A 2980-2026</t>
        </is>
      </c>
      <c r="B7" s="1" t="n">
        <v>46038</v>
      </c>
      <c r="C7" s="1" t="n">
        <v>46196</v>
      </c>
      <c r="D7" t="inlineStr">
        <is>
          <t>VÄSTRA GÖTALANDS LÄN</t>
        </is>
      </c>
      <c r="E7" t="inlineStr">
        <is>
          <t>SOTENÄS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HYPERLINK("https://klasma.github.io/Logging_1427/artfynd/A 2980-2026 artfynd.xlsx", "A 2980-2026")</f>
        <v/>
      </c>
      <c r="T7">
        <f>HYPERLINK("https://klasma.github.io/Logging_1427/kartor/A 2980-2026 karta.png", "A 2980-2026")</f>
        <v/>
      </c>
      <c r="V7">
        <f>HYPERLINK("https://klasma.github.io/Logging_1427/klagomål/A 2980-2026 FSC-klagomål.docx", "A 2980-2026")</f>
        <v/>
      </c>
      <c r="W7">
        <f>HYPERLINK("https://klasma.github.io/Logging_1427/klagomålsmail/A 2980-2026 FSC-klagomål mail.docx", "A 2980-2026")</f>
        <v/>
      </c>
      <c r="X7">
        <f>HYPERLINK("https://klasma.github.io/Logging_1427/tillsyn/A 2980-2026 tillsynsbegäran.docx", "A 2980-2026")</f>
        <v/>
      </c>
      <c r="Y7">
        <f>HYPERLINK("https://klasma.github.io/Logging_1427/tillsynsmail/A 2980-2026 tillsynsbegäran mail.docx", "A 2980-2026")</f>
        <v/>
      </c>
    </row>
    <row r="8" ht="15" customHeight="1">
      <c r="A8" t="inlineStr">
        <is>
          <t>A 50239-2022</t>
        </is>
      </c>
      <c r="B8" s="1" t="n">
        <v>44865</v>
      </c>
      <c r="C8" s="1" t="n">
        <v>46196</v>
      </c>
      <c r="D8" t="inlineStr">
        <is>
          <t>VÄSTRA GÖTALANDS LÄN</t>
        </is>
      </c>
      <c r="E8" t="inlineStr">
        <is>
          <t>SOTENÄS</t>
        </is>
      </c>
      <c r="G8" t="n">
        <v>13.2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Blockskapania</t>
        </is>
      </c>
      <c r="S8">
        <f>HYPERLINK("https://klasma.github.io/Logging_1427/artfynd/A 50239-2022 artfynd.xlsx", "A 50239-2022")</f>
        <v/>
      </c>
      <c r="T8">
        <f>HYPERLINK("https://klasma.github.io/Logging_1427/kartor/A 50239-2022 karta.png", "A 50239-2022")</f>
        <v/>
      </c>
      <c r="V8">
        <f>HYPERLINK("https://klasma.github.io/Logging_1427/klagomål/A 50239-2022 FSC-klagomål.docx", "A 50239-2022")</f>
        <v/>
      </c>
      <c r="W8">
        <f>HYPERLINK("https://klasma.github.io/Logging_1427/klagomålsmail/A 50239-2022 FSC-klagomål mail.docx", "A 50239-2022")</f>
        <v/>
      </c>
      <c r="X8">
        <f>HYPERLINK("https://klasma.github.io/Logging_1427/tillsyn/A 50239-2022 tillsynsbegäran.docx", "A 50239-2022")</f>
        <v/>
      </c>
      <c r="Y8">
        <f>HYPERLINK("https://klasma.github.io/Logging_1427/tillsynsmail/A 50239-2022 tillsynsbegäran mail.docx", "A 50239-2022")</f>
        <v/>
      </c>
    </row>
    <row r="9" ht="15" customHeight="1">
      <c r="A9" t="inlineStr">
        <is>
          <t>A 54967-2022</t>
        </is>
      </c>
      <c r="B9" s="1" t="n">
        <v>44886</v>
      </c>
      <c r="C9" s="1" t="n">
        <v>46196</v>
      </c>
      <c r="D9" t="inlineStr">
        <is>
          <t>VÄSTRA GÖTALANDS LÄN</t>
        </is>
      </c>
      <c r="E9" t="inlineStr">
        <is>
          <t>SOTENÄS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43053-2021</t>
        </is>
      </c>
      <c r="B10" s="1" t="n">
        <v>44431</v>
      </c>
      <c r="C10" s="1" t="n">
        <v>46196</v>
      </c>
      <c r="D10" t="inlineStr">
        <is>
          <t>VÄSTRA GÖTALANDS LÄN</t>
        </is>
      </c>
      <c r="E10" t="inlineStr">
        <is>
          <t>SOTENÄS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43056-2021</t>
        </is>
      </c>
      <c r="B11" s="1" t="n">
        <v>44431</v>
      </c>
      <c r="C11" s="1" t="n">
        <v>46196</v>
      </c>
      <c r="D11" t="inlineStr">
        <is>
          <t>VÄSTRA GÖTALANDS LÄN</t>
        </is>
      </c>
      <c r="E11" t="inlineStr">
        <is>
          <t>SOTENÄS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73020-2021</t>
        </is>
      </c>
      <c r="B12" s="1" t="n">
        <v>44550</v>
      </c>
      <c r="C12" s="1" t="n">
        <v>46196</v>
      </c>
      <c r="D12" t="inlineStr">
        <is>
          <t>VÄSTRA GÖTALANDS LÄN</t>
        </is>
      </c>
      <c r="E12" t="inlineStr">
        <is>
          <t>SOTENÄS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52960-2025</t>
        </is>
      </c>
      <c r="B13" s="1" t="n">
        <v>45956</v>
      </c>
      <c r="C13" s="1" t="n">
        <v>46196</v>
      </c>
      <c r="D13" t="inlineStr">
        <is>
          <t>VÄSTRA GÖTALANDS LÄN</t>
        </is>
      </c>
      <c r="E13" t="inlineStr">
        <is>
          <t>SOTENÄS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52888-2025</t>
        </is>
      </c>
      <c r="B14" s="1" t="n">
        <v>45957</v>
      </c>
      <c r="C14" s="1" t="n">
        <v>46196</v>
      </c>
      <c r="D14" t="inlineStr">
        <is>
          <t>VÄSTRA GÖTALANDS LÄN</t>
        </is>
      </c>
      <c r="E14" t="inlineStr">
        <is>
          <t>SOTENÄS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59231-2024</t>
        </is>
      </c>
      <c r="B15" s="1" t="n">
        <v>45637</v>
      </c>
      <c r="C15" s="1" t="n">
        <v>46196</v>
      </c>
      <c r="D15" t="inlineStr">
        <is>
          <t>VÄSTRA GÖTALANDS LÄN</t>
        </is>
      </c>
      <c r="E15" t="inlineStr">
        <is>
          <t>SOTENÄS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17491-2024</t>
        </is>
      </c>
      <c r="B16" s="1" t="n">
        <v>45415</v>
      </c>
      <c r="C16" s="1" t="n">
        <v>46196</v>
      </c>
      <c r="D16" t="inlineStr">
        <is>
          <t>VÄSTRA GÖTALANDS LÄN</t>
        </is>
      </c>
      <c r="E16" t="inlineStr">
        <is>
          <t>SOTENÄS</t>
        </is>
      </c>
      <c r="G16" t="n">
        <v>6.2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50864-2022</t>
        </is>
      </c>
      <c r="B17" s="1" t="n">
        <v>44867</v>
      </c>
      <c r="C17" s="1" t="n">
        <v>46196</v>
      </c>
      <c r="D17" t="inlineStr">
        <is>
          <t>VÄSTRA GÖTALANDS LÄN</t>
        </is>
      </c>
      <c r="E17" t="inlineStr">
        <is>
          <t>SOTENÄS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57001-2025</t>
        </is>
      </c>
      <c r="B18" s="1" t="n">
        <v>45977</v>
      </c>
      <c r="C18" s="1" t="n">
        <v>46196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28416-2024</t>
        </is>
      </c>
      <c r="B19" s="1" t="n">
        <v>45477</v>
      </c>
      <c r="C19" s="1" t="n">
        <v>46196</v>
      </c>
      <c r="D19" t="inlineStr">
        <is>
          <t>VÄSTRA GÖTALANDS LÄN</t>
        </is>
      </c>
      <c r="E19" t="inlineStr">
        <is>
          <t>SOTENÄS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24086-2025</t>
        </is>
      </c>
      <c r="B20" s="1" t="n">
        <v>45795</v>
      </c>
      <c r="C20" s="1" t="n">
        <v>46196</v>
      </c>
      <c r="D20" t="inlineStr">
        <is>
          <t>VÄSTRA GÖTALANDS LÄN</t>
        </is>
      </c>
      <c r="E20" t="inlineStr">
        <is>
          <t>SOTENÄS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49633-2024</t>
        </is>
      </c>
      <c r="B21" s="1" t="n">
        <v>45596</v>
      </c>
      <c r="C21" s="1" t="n">
        <v>46196</v>
      </c>
      <c r="D21" t="inlineStr">
        <is>
          <t>VÄSTRA GÖTALANDS LÄN</t>
        </is>
      </c>
      <c r="E21" t="inlineStr">
        <is>
          <t>SOTENÄS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4422-2024</t>
        </is>
      </c>
      <c r="B22" s="1" t="n">
        <v>45327</v>
      </c>
      <c r="C22" s="1" t="n">
        <v>46196</v>
      </c>
      <c r="D22" t="inlineStr">
        <is>
          <t>VÄSTRA GÖTALANDS LÄN</t>
        </is>
      </c>
      <c r="E22" t="inlineStr">
        <is>
          <t>SOTENÄS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13377-2026</t>
        </is>
      </c>
      <c r="B23" s="1" t="n">
        <v>46094</v>
      </c>
      <c r="C23" s="1" t="n">
        <v>46196</v>
      </c>
      <c r="D23" t="inlineStr">
        <is>
          <t>VÄSTRA GÖTALANDS LÄN</t>
        </is>
      </c>
      <c r="E23" t="inlineStr">
        <is>
          <t>SOTENÄS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22789-2026</t>
        </is>
      </c>
      <c r="B24" s="1" t="n">
        <v>46157</v>
      </c>
      <c r="C24" s="1" t="n">
        <v>46196</v>
      </c>
      <c r="D24" t="inlineStr">
        <is>
          <t>VÄSTRA GÖTALANDS LÄN</t>
        </is>
      </c>
      <c r="E24" t="inlineStr">
        <is>
          <t>SOTENÄS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16004-2026</t>
        </is>
      </c>
      <c r="B25" s="1" t="n">
        <v>46108</v>
      </c>
      <c r="C25" s="1" t="n">
        <v>46196</v>
      </c>
      <c r="D25" t="inlineStr">
        <is>
          <t>VÄSTRA GÖTALANDS LÄN</t>
        </is>
      </c>
      <c r="E25" t="inlineStr">
        <is>
          <t>SOTENÄS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19356-2026</t>
        </is>
      </c>
      <c r="B26" s="1" t="n">
        <v>46133</v>
      </c>
      <c r="C26" s="1" t="n">
        <v>46196</v>
      </c>
      <c r="D26" t="inlineStr">
        <is>
          <t>VÄSTRA GÖTALANDS LÄN</t>
        </is>
      </c>
      <c r="E26" t="inlineStr">
        <is>
          <t>SOTENÄS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27005-2026</t>
        </is>
      </c>
      <c r="B27" s="1" t="n">
        <v>46185</v>
      </c>
      <c r="C27" s="1" t="n">
        <v>46196</v>
      </c>
      <c r="D27" t="inlineStr">
        <is>
          <t>VÄSTRA GÖTALANDS LÄN</t>
        </is>
      </c>
      <c r="E27" t="inlineStr">
        <is>
          <t>SOTENÄS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46579-2024</t>
        </is>
      </c>
      <c r="B28" s="1" t="n">
        <v>45582</v>
      </c>
      <c r="C28" s="1" t="n">
        <v>46196</v>
      </c>
      <c r="D28" t="inlineStr">
        <is>
          <t>VÄSTRA GÖTALANDS LÄN</t>
        </is>
      </c>
      <c r="E28" t="inlineStr">
        <is>
          <t>SOTENÄS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28409-2024</t>
        </is>
      </c>
      <c r="B29" s="1" t="n">
        <v>45477</v>
      </c>
      <c r="C29" s="1" t="n">
        <v>46196</v>
      </c>
      <c r="D29" t="inlineStr">
        <is>
          <t>VÄSTRA GÖTALANDS LÄN</t>
        </is>
      </c>
      <c r="E29" t="inlineStr">
        <is>
          <t>SOTENÄS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4780-2022</t>
        </is>
      </c>
      <c r="B30" s="1" t="n">
        <v>44592</v>
      </c>
      <c r="C30" s="1" t="n">
        <v>46196</v>
      </c>
      <c r="D30" t="inlineStr">
        <is>
          <t>VÄSTRA GÖTALANDS LÄN</t>
        </is>
      </c>
      <c r="E30" t="inlineStr">
        <is>
          <t>SOTENÄS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17492-2024</t>
        </is>
      </c>
      <c r="B31" s="1" t="n">
        <v>45415</v>
      </c>
      <c r="C31" s="1" t="n">
        <v>46196</v>
      </c>
      <c r="D31" t="inlineStr">
        <is>
          <t>VÄSTRA GÖTALANDS LÄN</t>
        </is>
      </c>
      <c r="E31" t="inlineStr">
        <is>
          <t>SOTENÄS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46587-2024</t>
        </is>
      </c>
      <c r="B32" s="1" t="n">
        <v>45582</v>
      </c>
      <c r="C32" s="1" t="n">
        <v>46196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46588-2024</t>
        </is>
      </c>
      <c r="B33" s="1" t="n">
        <v>45582</v>
      </c>
      <c r="C33" s="1" t="n">
        <v>46196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28418-2024</t>
        </is>
      </c>
      <c r="B34" s="1" t="n">
        <v>45477</v>
      </c>
      <c r="C34" s="1" t="n">
        <v>46196</v>
      </c>
      <c r="D34" t="inlineStr">
        <is>
          <t>VÄSTRA GÖTALANDS LÄN</t>
        </is>
      </c>
      <c r="E34" t="inlineStr">
        <is>
          <t>SOTENÄS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49634-2024</t>
        </is>
      </c>
      <c r="B35" s="1" t="n">
        <v>45596</v>
      </c>
      <c r="C35" s="1" t="n">
        <v>46196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2026-06-23T04:32:10Z</dcterms:created>
  <dcterms:modified xmlns:dcterms="http://purl.org/dc/terms/" xmlns:xsi="http://www.w3.org/2001/XMLSchema-instance" xsi:type="dcterms:W3CDTF">2026-06-23T04:32:10Z</dcterms:modified>
</cp:coreProperties>
</file>