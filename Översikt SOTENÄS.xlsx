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46319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46319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46319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46319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46319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23503-2025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46319</v>
      </c>
      <c r="F7" t="inlineStr">
        <is>
          <t>VÄSTRA GÖTALANDS LÄN</t>
        </is>
      </c>
      <c r="G7" t="inlineStr">
        <is>
          <t>SOTENÄS</t>
        </is>
      </c>
      <c r="I7" t="n">
        <v>14.1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Åkergroda</t>
        </is>
      </c>
      <c r="W7">
        <f>HYPERLINK("https://klasma.github.io/Logging_1427/artfynd/A 23503-2025 artfynd.xlsx", "A 23503-2025")</f>
        <v/>
      </c>
      <c r="X7">
        <f>HYPERLINK("https://klasma.github.io/Logging_1427/kartor/A 23503-2025 karta.png", "A 23503-2025")</f>
        <v/>
      </c>
      <c r="Y7">
        <f>HYPERLINK("https://klasma.github.io/Logging_1427/kartor_geotiff/A 23503-2025 georefererad karta.tif", "A 23503-2025")</f>
        <v/>
      </c>
      <c r="AA7">
        <f>HYPERLINK("https://klasma.github.io/Logging_1427/klagomål/A 23503-2025 FSC-klagomål.docx", "A 23503-2025")</f>
        <v/>
      </c>
      <c r="AB7">
        <f>HYPERLINK("https://klasma.github.io/Logging_1427/klagomålsmail/A 23503-2025 FSC-klagomål mail.docx", "A 23503-2025")</f>
        <v/>
      </c>
      <c r="AC7">
        <f>HYPERLINK("https://klasma.github.io/Logging_1427/tillsyn/A 23503-2025 tillsynsbegäran.docx", "A 23503-2025")</f>
        <v/>
      </c>
      <c r="AD7">
        <f>HYPERLINK("https://klasma.github.io/Logging_1427/tillsynsmail/A 23503-2025 tillsynsbegäran mail.docx", "A 23503-2025")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46319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46319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49634-2024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45596</v>
      </c>
      <c r="E10" s="1" t="n">
        <v>46319</v>
      </c>
      <c r="F10" t="inlineStr">
        <is>
          <t>VÄSTRA GÖTALANDS LÄN</t>
        </is>
      </c>
      <c r="G10" t="inlineStr">
        <is>
          <t>SOTENÄS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17492-2024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46319</v>
      </c>
      <c r="F11" t="inlineStr">
        <is>
          <t>VÄSTRA GÖTALANDS LÄN</t>
        </is>
      </c>
      <c r="G11" t="inlineStr">
        <is>
          <t>SOTENÄS</t>
        </is>
      </c>
      <c r="I11" t="n">
        <v>7.7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52960-2025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45956</v>
      </c>
      <c r="E12" s="1" t="n">
        <v>46319</v>
      </c>
      <c r="F12" t="inlineStr">
        <is>
          <t>VÄSTRA GÖTALANDS LÄN</t>
        </is>
      </c>
      <c r="G12" t="inlineStr">
        <is>
          <t>SOTENÄS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49633-2024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45596</v>
      </c>
      <c r="E13" s="1" t="n">
        <v>46319</v>
      </c>
      <c r="F13" t="inlineStr">
        <is>
          <t>VÄSTRA GÖTALANDS LÄN</t>
        </is>
      </c>
      <c r="G13" t="inlineStr">
        <is>
          <t>SOTENÄS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46319</v>
      </c>
      <c r="F14" t="inlineStr">
        <is>
          <t>VÄSTRA GÖTALANDS LÄN</t>
        </is>
      </c>
      <c r="G14" t="inlineStr">
        <is>
          <t>SOTENÄS</t>
        </is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46319</v>
      </c>
      <c r="F15" t="inlineStr">
        <is>
          <t>VÄSTRA GÖTALANDS LÄN</t>
        </is>
      </c>
      <c r="G15" t="inlineStr">
        <is>
          <t>SOTENÄS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17491-2024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46319</v>
      </c>
      <c r="F16" t="inlineStr">
        <is>
          <t>VÄSTRA GÖTALANDS LÄN</t>
        </is>
      </c>
      <c r="G16" t="inlineStr">
        <is>
          <t>SOTENÄS</t>
        </is>
      </c>
      <c r="I16" t="n">
        <v>6.2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50864-2022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46319</v>
      </c>
      <c r="F17" t="inlineStr">
        <is>
          <t>VÄSTRA GÖTALANDS LÄN</t>
        </is>
      </c>
      <c r="G17" t="inlineStr">
        <is>
          <t>SOTENÄS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24086-2025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45795</v>
      </c>
      <c r="E18" s="1" t="n">
        <v>46319</v>
      </c>
      <c r="F18" t="inlineStr">
        <is>
          <t>VÄSTRA GÖTALANDS LÄN</t>
        </is>
      </c>
      <c r="G18" t="inlineStr">
        <is>
          <t>SOTENÄS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35770-2026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46264</v>
      </c>
      <c r="E19" s="1" t="n">
        <v>46319</v>
      </c>
      <c r="F19" t="inlineStr">
        <is>
          <t>VÄSTRA GÖTALANDS LÄN</t>
        </is>
      </c>
      <c r="G19" t="inlineStr">
        <is>
          <t>SOTENÄS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28409-2024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45477</v>
      </c>
      <c r="E20" s="1" t="n">
        <v>46319</v>
      </c>
      <c r="F20" t="inlineStr">
        <is>
          <t>VÄSTRA GÖTALANDS LÄN</t>
        </is>
      </c>
      <c r="G20" t="inlineStr">
        <is>
          <t>SOTENÄS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46272</v>
      </c>
      <c r="E21" s="1" t="n">
        <v>46319</v>
      </c>
      <c r="F21" t="inlineStr">
        <is>
          <t>VÄSTRA GÖTALANDS LÄN</t>
        </is>
      </c>
      <c r="G21" t="inlineStr">
        <is>
          <t>SOTENÄS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46319</v>
      </c>
      <c r="F22" t="inlineStr">
        <is>
          <t>VÄSTRA GÖTALANDS LÄN</t>
        </is>
      </c>
      <c r="G22" t="inlineStr">
        <is>
          <t>SOTENÄS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46319</v>
      </c>
      <c r="F23" t="inlineStr">
        <is>
          <t>VÄSTRA GÖTALANDS LÄN</t>
        </is>
      </c>
      <c r="G23" t="inlineStr">
        <is>
          <t>SOTENÄS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46319</v>
      </c>
      <c r="F24" t="inlineStr">
        <is>
          <t>VÄSTRA GÖTALANDS LÄN</t>
        </is>
      </c>
      <c r="G24" t="inlineStr">
        <is>
          <t>SOTENÄS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46319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4422-2024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46319</v>
      </c>
      <c r="F26" t="inlineStr">
        <is>
          <t>VÄSTRA GÖTALANDS LÄN</t>
        </is>
      </c>
      <c r="G26" t="inlineStr">
        <is>
          <t>SOTENÄS</t>
        </is>
      </c>
      <c r="I26" t="n">
        <v>4.5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46319</v>
      </c>
      <c r="F27" t="inlineStr">
        <is>
          <t>VÄSTRA GÖTALANDS LÄN</t>
        </is>
      </c>
      <c r="G27" t="inlineStr">
        <is>
          <t>SOTENÄS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44592</v>
      </c>
      <c r="E28" s="1" t="n">
        <v>46319</v>
      </c>
      <c r="F28" t="inlineStr">
        <is>
          <t>VÄSTRA GÖTALANDS LÄN</t>
        </is>
      </c>
      <c r="G28" t="inlineStr">
        <is>
          <t>SOTENÄS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46319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2026-10-24T02:03:02Z</dcterms:created>
  <dcterms:modified xmlns:dcterms="http://purl.org/dc/terms/" xmlns:xsi="http://www.w3.org/2001/XMLSchema-instance" xsi:type="dcterms:W3CDTF">2026-10-24T02:03:02Z</dcterms:modified>
</cp:coreProperties>
</file>