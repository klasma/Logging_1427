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24036-2025</t>
        </is>
      </c>
      <c r="B2" s="1" t="n">
        <v>45795</v>
      </c>
      <c r="C2" s="1" t="n">
        <v>45991</v>
      </c>
      <c r="D2" t="inlineStr">
        <is>
          <t>VÄSTRA GÖTALANDS LÄN</t>
        </is>
      </c>
      <c r="E2" t="inlineStr">
        <is>
          <t>SOTENÄS</t>
        </is>
      </c>
      <c r="G2" t="n">
        <v>37.1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Kopparödla</t>
        </is>
      </c>
      <c r="S2">
        <f>HYPERLINK("https://klasma.github.io/Logging_1427/artfynd/A 24036-2025 artfynd.xlsx", "A 24036-2025")</f>
        <v/>
      </c>
      <c r="T2">
        <f>HYPERLINK("https://klasma.github.io/Logging_1427/kartor/A 24036-2025 karta.png", "A 24036-2025")</f>
        <v/>
      </c>
      <c r="V2">
        <f>HYPERLINK("https://klasma.github.io/Logging_1427/klagomål/A 24036-2025 FSC-klagomål.docx", "A 24036-2025")</f>
        <v/>
      </c>
      <c r="W2">
        <f>HYPERLINK("https://klasma.github.io/Logging_1427/klagomålsmail/A 24036-2025 FSC-klagomål mail.docx", "A 24036-2025")</f>
        <v/>
      </c>
      <c r="X2">
        <f>HYPERLINK("https://klasma.github.io/Logging_1427/tillsyn/A 24036-2025 tillsynsbegäran.docx", "A 24036-2025")</f>
        <v/>
      </c>
      <c r="Y2">
        <f>HYPERLINK("https://klasma.github.io/Logging_1427/tillsynsmail/A 24036-2025 tillsynsbegäran mail.docx", "A 24036-2025")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45991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45991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45991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45991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45991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45991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45991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45991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59231-2024</t>
        </is>
      </c>
      <c r="B11" s="1" t="n">
        <v>45637.58472222222</v>
      </c>
      <c r="C11" s="1" t="n">
        <v>45991</v>
      </c>
      <c r="D11" t="inlineStr">
        <is>
          <t>VÄSTRA GÖTALANDS LÄN</t>
        </is>
      </c>
      <c r="E11" t="inlineStr">
        <is>
          <t>SOTENÄS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45477.62978009259</v>
      </c>
      <c r="C12" s="1" t="n">
        <v>45991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23503-2025</t>
        </is>
      </c>
      <c r="B13" s="1" t="n">
        <v>45795</v>
      </c>
      <c r="C13" s="1" t="n">
        <v>45991</v>
      </c>
      <c r="D13" t="inlineStr">
        <is>
          <t>VÄSTRA GÖTALANDS LÄN</t>
        </is>
      </c>
      <c r="E13" t="inlineStr">
        <is>
          <t>SOTENÄS</t>
        </is>
      </c>
      <c r="G13" t="n">
        <v>14.1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270-2025</t>
        </is>
      </c>
      <c r="B14" s="1" t="n">
        <v>45660.48087962963</v>
      </c>
      <c r="C14" s="1" t="n">
        <v>45991</v>
      </c>
      <c r="D14" t="inlineStr">
        <is>
          <t>VÄSTRA GÖTALANDS LÄN</t>
        </is>
      </c>
      <c r="E14" t="inlineStr">
        <is>
          <t>SOTENÄS</t>
        </is>
      </c>
      <c r="G14" t="n">
        <v>8.9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45596.59559027778</v>
      </c>
      <c r="C15" s="1" t="n">
        <v>45991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24086-2025</t>
        </is>
      </c>
      <c r="B16" s="1" t="n">
        <v>45795</v>
      </c>
      <c r="C16" s="1" t="n">
        <v>45991</v>
      </c>
      <c r="D16" t="inlineStr">
        <is>
          <t>VÄSTRA GÖTALANDS LÄN</t>
        </is>
      </c>
      <c r="E16" t="inlineStr">
        <is>
          <t>SOTENÄS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4422-2024</t>
        </is>
      </c>
      <c r="B17" s="1" t="n">
        <v>45327.45375</v>
      </c>
      <c r="C17" s="1" t="n">
        <v>45991</v>
      </c>
      <c r="D17" t="inlineStr">
        <is>
          <t>VÄSTRA GÖTALANDS LÄN</t>
        </is>
      </c>
      <c r="E17" t="inlineStr">
        <is>
          <t>SOTENÄS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51434-2025</t>
        </is>
      </c>
      <c r="B18" s="1" t="n">
        <v>45949</v>
      </c>
      <c r="C18" s="1" t="n">
        <v>45991</v>
      </c>
      <c r="D18" t="inlineStr">
        <is>
          <t>VÄSTRA GÖTALANDS LÄN</t>
        </is>
      </c>
      <c r="E18" t="inlineStr">
        <is>
          <t>SOTENÄS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52960-2025</t>
        </is>
      </c>
      <c r="B19" s="1" t="n">
        <v>45956</v>
      </c>
      <c r="C19" s="1" t="n">
        <v>45991</v>
      </c>
      <c r="D19" t="inlineStr">
        <is>
          <t>VÄSTRA GÖTALANDS LÄN</t>
        </is>
      </c>
      <c r="E19" t="inlineStr">
        <is>
          <t>SOTENÄS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52888-2025</t>
        </is>
      </c>
      <c r="B20" s="1" t="n">
        <v>45957.56943287037</v>
      </c>
      <c r="C20" s="1" t="n">
        <v>45991</v>
      </c>
      <c r="D20" t="inlineStr">
        <is>
          <t>VÄSTRA GÖTALANDS LÄN</t>
        </is>
      </c>
      <c r="E20" t="inlineStr">
        <is>
          <t>SOTENÄS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24212-2023</t>
        </is>
      </c>
      <c r="B21" s="1" t="n">
        <v>45076</v>
      </c>
      <c r="C21" s="1" t="n">
        <v>45991</v>
      </c>
      <c r="D21" t="inlineStr">
        <is>
          <t>VÄSTRA GÖTALANDS LÄN</t>
        </is>
      </c>
      <c r="E21" t="inlineStr">
        <is>
          <t>SOTENÄS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45991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50239-2022</t>
        </is>
      </c>
      <c r="B23" s="1" t="n">
        <v>44865</v>
      </c>
      <c r="C23" s="1" t="n">
        <v>45991</v>
      </c>
      <c r="D23" t="inlineStr">
        <is>
          <t>VÄSTRA GÖTALANDS LÄN</t>
        </is>
      </c>
      <c r="E23" t="inlineStr">
        <is>
          <t>SOTENÄS</t>
        </is>
      </c>
      <c r="G23" t="n">
        <v>13.2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46579-2024</t>
        </is>
      </c>
      <c r="B24" s="1" t="n">
        <v>45582.75018518518</v>
      </c>
      <c r="C24" s="1" t="n">
        <v>45991</v>
      </c>
      <c r="D24" t="inlineStr">
        <is>
          <t>VÄSTRA GÖTALANDS LÄN</t>
        </is>
      </c>
      <c r="E24" t="inlineStr">
        <is>
          <t>SOTENÄS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28409-2024</t>
        </is>
      </c>
      <c r="B25" s="1" t="n">
        <v>45477.62280092593</v>
      </c>
      <c r="C25" s="1" t="n">
        <v>45991</v>
      </c>
      <c r="D25" t="inlineStr">
        <is>
          <t>VÄSTRA GÖTALANDS LÄN</t>
        </is>
      </c>
      <c r="E25" t="inlineStr">
        <is>
          <t>SOTENÄS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57001-2025</t>
        </is>
      </c>
      <c r="B26" s="1" t="n">
        <v>45977</v>
      </c>
      <c r="C26" s="1" t="n">
        <v>45991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45991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17492-2024</t>
        </is>
      </c>
      <c r="B28" s="1" t="n">
        <v>45415.50709490741</v>
      </c>
      <c r="C28" s="1" t="n">
        <v>45991</v>
      </c>
      <c r="D28" t="inlineStr">
        <is>
          <t>VÄSTRA GÖTALANDS LÄN</t>
        </is>
      </c>
      <c r="E28" t="inlineStr">
        <is>
          <t>SOTENÄS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46587-2024</t>
        </is>
      </c>
      <c r="B29" s="1" t="n">
        <v>45582.76763888889</v>
      </c>
      <c r="C29" s="1" t="n">
        <v>45991</v>
      </c>
      <c r="D29" t="inlineStr">
        <is>
          <t>VÄSTRA GÖTALANDS LÄN</t>
        </is>
      </c>
      <c r="E29" t="inlineStr">
        <is>
          <t>SOTENÄS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46588-2024</t>
        </is>
      </c>
      <c r="B30" s="1" t="n">
        <v>45582.77137731481</v>
      </c>
      <c r="C30" s="1" t="n">
        <v>45991</v>
      </c>
      <c r="D30" t="inlineStr">
        <is>
          <t>VÄSTRA GÖTALANDS LÄN</t>
        </is>
      </c>
      <c r="E30" t="inlineStr">
        <is>
          <t>SOTENÄS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28418-2024</t>
        </is>
      </c>
      <c r="B31" s="1" t="n">
        <v>45477.62978009259</v>
      </c>
      <c r="C31" s="1" t="n">
        <v>45991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49634-2024</t>
        </is>
      </c>
      <c r="B32" s="1" t="n">
        <v>45596.59591435185</v>
      </c>
      <c r="C32" s="1" t="n">
        <v>45991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21421-2021</t>
        </is>
      </c>
      <c r="B33" s="1" t="n">
        <v>44316</v>
      </c>
      <c r="C33" s="1" t="n">
        <v>45991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45991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50864-2022</t>
        </is>
      </c>
      <c r="B35" s="1" t="n">
        <v>44867.56143518518</v>
      </c>
      <c r="C35" s="1" t="n">
        <v>45991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2025-11-30T10:21:36Z</dcterms:created>
  <dcterms:modified xmlns:dcterms="http://purl.org/dc/terms/" xmlns:xsi="http://www.w3.org/2001/XMLSchema-instance" xsi:type="dcterms:W3CDTF">2025-11-30T10:21:36Z</dcterms:modified>
</cp:coreProperties>
</file>