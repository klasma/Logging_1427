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46218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Y2">
        <f>HYPERLINK("https://klasma.github.io/Logging_1427/klagomål/A 270-2025 FSC-klagomål.docx", "A 270-2025")</f>
        <v/>
      </c>
      <c r="Z2">
        <f>HYPERLINK("https://klasma.github.io/Logging_1427/klagomålsmail/A 270-2025 FSC-klagomål mail.docx", "A 270-2025")</f>
        <v/>
      </c>
      <c r="AA2">
        <f>HYPERLINK("https://klasma.github.io/Logging_1427/tillsyn/A 270-2025 tillsynsbegäran.docx", "A 270-2025")</f>
        <v/>
      </c>
      <c r="AB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46218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Y3">
        <f>HYPERLINK("https://klasma.github.io/Logging_1427/klagomål/A 24088-2025 FSC-klagomål.docx", "A 24088-2025")</f>
        <v/>
      </c>
      <c r="Z3">
        <f>HYPERLINK("https://klasma.github.io/Logging_1427/klagomålsmail/A 24088-2025 FSC-klagomål mail.docx", "A 24088-2025")</f>
        <v/>
      </c>
      <c r="AA3">
        <f>HYPERLINK("https://klasma.github.io/Logging_1427/tillsyn/A 24088-2025 tillsynsbegäran.docx", "A 24088-2025")</f>
        <v/>
      </c>
      <c r="AB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46218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46218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Blockskapania</t>
        </is>
      </c>
      <c r="V5">
        <f>HYPERLINK("https://klasma.github.io/Logging_1427/artfynd/A 50239-2022 artfynd.xlsx", "A 50239-2022")</f>
        <v/>
      </c>
      <c r="W5">
        <f>HYPERLINK("https://klasma.github.io/Logging_1427/kartor/A 50239-2022 karta.png", "A 50239-2022")</f>
        <v/>
      </c>
      <c r="Y5">
        <f>HYPERLINK("https://klasma.github.io/Logging_1427/klagomål/A 50239-2022 FSC-klagomål.docx", "A 50239-2022")</f>
        <v/>
      </c>
      <c r="Z5">
        <f>HYPERLINK("https://klasma.github.io/Logging_1427/klagomålsmail/A 50239-2022 FSC-klagomål mail.docx", "A 50239-2022")</f>
        <v/>
      </c>
      <c r="AA5">
        <f>HYPERLINK("https://klasma.github.io/Logging_1427/tillsyn/A 50239-2022 tillsynsbegäran.docx", "A 50239-2022")</f>
        <v/>
      </c>
      <c r="AB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46218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s="2" t="inlineStr">
        <is>
          <t>Rödlånke</t>
        </is>
      </c>
      <c r="V6">
        <f>HYPERLINK("https://klasma.github.io/Logging_1427/artfynd/A 24087-2025 artfynd.xlsx", "A 24087-2025")</f>
        <v/>
      </c>
      <c r="W6">
        <f>HYPERLINK("https://klasma.github.io/Logging_1427/kartor/A 24087-2025 karta.png", "A 24087-2025")</f>
        <v/>
      </c>
      <c r="Y6">
        <f>HYPERLINK("https://klasma.github.io/Logging_1427/klagomål/A 24087-2025 FSC-klagomål.docx", "A 24087-2025")</f>
        <v/>
      </c>
      <c r="Z6">
        <f>HYPERLINK("https://klasma.github.io/Logging_1427/klagomålsmail/A 24087-2025 FSC-klagomål mail.docx", "A 24087-2025")</f>
        <v/>
      </c>
      <c r="AA6">
        <f>HYPERLINK("https://klasma.github.io/Logging_1427/tillsyn/A 24087-2025 tillsynsbegäran.docx", "A 24087-2025")</f>
        <v/>
      </c>
      <c r="AB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46218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Åkergroda</t>
        </is>
      </c>
      <c r="V7">
        <f>HYPERLINK("https://klasma.github.io/Logging_1427/artfynd/A 23503-2025 artfynd.xlsx", "A 23503-2025")</f>
        <v/>
      </c>
      <c r="W7">
        <f>HYPERLINK("https://klasma.github.io/Logging_1427/kartor/A 23503-2025 karta.png", "A 23503-2025")</f>
        <v/>
      </c>
      <c r="Y7">
        <f>HYPERLINK("https://klasma.github.io/Logging_1427/klagomål/A 23503-2025 FSC-klagomål.docx", "A 23503-2025")</f>
        <v/>
      </c>
      <c r="Z7">
        <f>HYPERLINK("https://klasma.github.io/Logging_1427/klagomålsmail/A 23503-2025 FSC-klagomål mail.docx", "A 23503-2025")</f>
        <v/>
      </c>
      <c r="AA7">
        <f>HYPERLINK("https://klasma.github.io/Logging_1427/tillsyn/A 23503-2025 tillsynsbegäran.docx", "A 23503-2025")</f>
        <v/>
      </c>
      <c r="AB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46218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HYPERLINK("https://klasma.github.io/Logging_1427/artfynd/A 2980-2026 artfynd.xlsx", "A 2980-2026")</f>
        <v/>
      </c>
      <c r="W8">
        <f>HYPERLINK("https://klasma.github.io/Logging_1427/kartor/A 2980-2026 karta.png", "A 2980-2026")</f>
        <v/>
      </c>
      <c r="Y8">
        <f>HYPERLINK("https://klasma.github.io/Logging_1427/klagomål/A 2980-2026 FSC-klagomål.docx", "A 2980-2026")</f>
        <v/>
      </c>
      <c r="Z8">
        <f>HYPERLINK("https://klasma.github.io/Logging_1427/klagomålsmail/A 2980-2026 FSC-klagomål mail.docx", "A 2980-2026")</f>
        <v/>
      </c>
      <c r="AA8">
        <f>HYPERLINK("https://klasma.github.io/Logging_1427/tillsyn/A 2980-2026 tillsynsbegäran.docx", "A 2980-2026")</f>
        <v/>
      </c>
      <c r="AB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46218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46218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46218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46579-2024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46218</v>
      </c>
      <c r="F12" t="inlineStr">
        <is>
          <t>VÄSTRA GÖTALANDS LÄN</t>
        </is>
      </c>
      <c r="G12" t="inlineStr">
        <is>
          <t>SOTENÄS</t>
        </is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59231-2024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46218</v>
      </c>
      <c r="F13" t="inlineStr">
        <is>
          <t>VÄSTRA GÖTALANDS LÄN</t>
        </is>
      </c>
      <c r="G13" t="inlineStr">
        <is>
          <t>SOTENÄS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28409-2024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46218</v>
      </c>
      <c r="F14" t="inlineStr">
        <is>
          <t>VÄSTRA GÖTALANDS LÄN</t>
        </is>
      </c>
      <c r="G14" t="inlineStr">
        <is>
          <t>SOTENÄS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46218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49633-2024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45596</v>
      </c>
      <c r="E16" s="1" t="n">
        <v>46218</v>
      </c>
      <c r="F16" t="inlineStr">
        <is>
          <t>VÄSTRA GÖTALANDS LÄN</t>
        </is>
      </c>
      <c r="G16" t="inlineStr">
        <is>
          <t>SOTENÄS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4422-2024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46218</v>
      </c>
      <c r="F17" t="inlineStr">
        <is>
          <t>VÄSTRA GÖTALANDS LÄN</t>
        </is>
      </c>
      <c r="G17" t="inlineStr">
        <is>
          <t>SOTENÄS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46218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17491-2024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46218</v>
      </c>
      <c r="F19" t="inlineStr">
        <is>
          <t>VÄSTRA GÖTALANDS LÄN</t>
        </is>
      </c>
      <c r="G19" t="inlineStr">
        <is>
          <t>SOTENÄS</t>
        </is>
      </c>
      <c r="I19" t="n">
        <v>6.2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50864-2022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46218</v>
      </c>
      <c r="F20" t="inlineStr">
        <is>
          <t>VÄSTRA GÖTALANDS LÄN</t>
        </is>
      </c>
      <c r="G20" t="inlineStr">
        <is>
          <t>SOTENÄS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46218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24086-2025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45795</v>
      </c>
      <c r="E22" s="1" t="n">
        <v>46218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17492-2024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45415</v>
      </c>
      <c r="E23" s="1" t="n">
        <v>46218</v>
      </c>
      <c r="F23" t="inlineStr">
        <is>
          <t>VÄSTRA GÖTALANDS LÄN</t>
        </is>
      </c>
      <c r="G23" t="inlineStr">
        <is>
          <t>SOTENÄS</t>
        </is>
      </c>
      <c r="I23" t="n">
        <v>7.7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46587-2024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46218</v>
      </c>
      <c r="F24" t="inlineStr">
        <is>
          <t>VÄSTRA GÖTALANDS LÄN</t>
        </is>
      </c>
      <c r="G24" t="inlineStr">
        <is>
          <t>SOTENÄS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46588-2024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46218</v>
      </c>
      <c r="F25" t="inlineStr">
        <is>
          <t>VÄSTRA GÖTALANDS LÄN</t>
        </is>
      </c>
      <c r="G25" t="inlineStr">
        <is>
          <t>SOTENÄS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27005-2026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46218</v>
      </c>
      <c r="F26" t="inlineStr">
        <is>
          <t>VÄSTRA GÖTALANDS LÄN</t>
        </is>
      </c>
      <c r="G26" t="inlineStr">
        <is>
          <t>SOTENÄS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28418-2024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46218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49634-2024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46218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46157</v>
      </c>
      <c r="E29" s="1" t="n">
        <v>46218</v>
      </c>
      <c r="F29" t="inlineStr">
        <is>
          <t>VÄSTRA GÖTALANDS LÄN</t>
        </is>
      </c>
      <c r="G29" t="inlineStr">
        <is>
          <t>SOTENÄS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46218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2026-07-15T01:23:11Z</dcterms:created>
  <dcterms:modified xmlns:dcterms="http://purl.org/dc/terms/" xmlns:xsi="http://www.w3.org/2001/XMLSchema-instance" xsi:type="dcterms:W3CDTF">2026-07-15T01:23:11Z</dcterms:modified>
</cp:coreProperties>
</file>