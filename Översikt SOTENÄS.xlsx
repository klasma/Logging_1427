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45831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HYPERLINK("https://klasma.github.io/Logging_141427/artfynd/A 24087-2025 artfynd.xlsx", "A 24087-2025")</f>
        <v/>
      </c>
      <c r="T2">
        <f>HYPERLINK("https://klasma.github.io/Logging_141427/kartor/A 24087-2025 karta.png", "A 24087-2025")</f>
        <v/>
      </c>
      <c r="V2">
        <f>HYPERLINK("https://klasma.github.io/Logging_141427/klagomål/A 24087-2025 FSC-klagomål.docx", "A 24087-2025")</f>
        <v/>
      </c>
      <c r="W2">
        <f>HYPERLINK("https://klasma.github.io/Logging_141427/klagomålsmail/A 24087-2025 FSC-klagomål mail.docx", "A 24087-2025")</f>
        <v/>
      </c>
      <c r="X2">
        <f>HYPERLINK("https://klasma.github.io/Logging_141427/tillsyn/A 24087-2025 tillsynsbegäran.docx", "A 24087-2025")</f>
        <v/>
      </c>
      <c r="Y2">
        <f>HYPERLINK("https://klasma.github.io/Logging_141427/tillsynsmail/A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45831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HYPERLINK("https://klasma.github.io/Logging_141427/artfynd/A 24088-2025 artfynd.xlsx", "A 24088-2025")</f>
        <v/>
      </c>
      <c r="T3">
        <f>HYPERLINK("https://klasma.github.io/Logging_141427/kartor/A 24088-2025 karta.png", "A 24088-2025")</f>
        <v/>
      </c>
      <c r="V3">
        <f>HYPERLINK("https://klasma.github.io/Logging_141427/klagomål/A 24088-2025 FSC-klagomål.docx", "A 24088-2025")</f>
        <v/>
      </c>
      <c r="W3">
        <f>HYPERLINK("https://klasma.github.io/Logging_141427/klagomålsmail/A 24088-2025 FSC-klagomål mail.docx", "A 24088-2025")</f>
        <v/>
      </c>
      <c r="X3">
        <f>HYPERLINK("https://klasma.github.io/Logging_141427/tillsyn/A 24088-2025 tillsynsbegäran.docx", "A 24088-2025")</f>
        <v/>
      </c>
      <c r="Y3">
        <f>HYPERLINK("https://klasma.github.io/Logging_141427/tillsynsmail/A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45831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HYPERLINK("https://klasma.github.io/Logging_141427/artfynd/A 24036-2025 artfynd.xlsx", "A 24036-2025")</f>
        <v/>
      </c>
      <c r="T4">
        <f>HYPERLINK("https://klasma.github.io/Logging_141427/kartor/A 24036-2025 karta.png", "A 24036-2025")</f>
        <v/>
      </c>
      <c r="V4">
        <f>HYPERLINK("https://klasma.github.io/Logging_141427/klagomål/A 24036-2025 FSC-klagomål.docx", "A 24036-2025")</f>
        <v/>
      </c>
      <c r="W4">
        <f>HYPERLINK("https://klasma.github.io/Logging_141427/klagomålsmail/A 24036-2025 FSC-klagomål mail.docx", "A 24036-2025")</f>
        <v/>
      </c>
      <c r="X4">
        <f>HYPERLINK("https://klasma.github.io/Logging_141427/tillsyn/A 24036-2025 tillsynsbegäran.docx", "A 24036-2025")</f>
        <v/>
      </c>
      <c r="Y4">
        <f>HYPERLINK("https://klasma.github.io/Logging_141427/tillsynsmail/A 24036-2025 tillsynsbegäran mail.docx", "A 24036-2025")</f>
        <v/>
      </c>
    </row>
    <row r="5" ht="15" customHeight="1">
      <c r="A5" t="inlineStr">
        <is>
          <t>A 18205-2019</t>
        </is>
      </c>
      <c r="B5" s="1" t="n">
        <v>43558</v>
      </c>
      <c r="C5" s="1" t="n">
        <v>45831</v>
      </c>
      <c r="D5" t="inlineStr">
        <is>
          <t>VÄSTRA GÖTALANDS LÄN</t>
        </is>
      </c>
      <c r="E5" t="inlineStr">
        <is>
          <t>SOTENÄS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47529-2019</t>
        </is>
      </c>
      <c r="B6" s="1" t="n">
        <v>43723</v>
      </c>
      <c r="C6" s="1" t="n">
        <v>45831</v>
      </c>
      <c r="D6" t="inlineStr">
        <is>
          <t>VÄSTRA GÖTALANDS LÄN</t>
        </is>
      </c>
      <c r="E6" t="inlineStr">
        <is>
          <t>SOTENÄS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47510-2019</t>
        </is>
      </c>
      <c r="B7" s="1" t="n">
        <v>43723</v>
      </c>
      <c r="C7" s="1" t="n">
        <v>45831</v>
      </c>
      <c r="D7" t="inlineStr">
        <is>
          <t>VÄSTRA GÖTALANDS LÄN</t>
        </is>
      </c>
      <c r="E7" t="inlineStr">
        <is>
          <t>SOTENÄS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47504-2019</t>
        </is>
      </c>
      <c r="B8" s="1" t="n">
        <v>43723</v>
      </c>
      <c r="C8" s="1" t="n">
        <v>45831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56078-2019</t>
        </is>
      </c>
      <c r="B9" s="1" t="n">
        <v>43755</v>
      </c>
      <c r="C9" s="1" t="n">
        <v>45831</v>
      </c>
      <c r="D9" t="inlineStr">
        <is>
          <t>VÄSTRA GÖTALANDS LÄN</t>
        </is>
      </c>
      <c r="E9" t="inlineStr">
        <is>
          <t>SOTENÄS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55636-2019</t>
        </is>
      </c>
      <c r="B10" s="1" t="n">
        <v>43755</v>
      </c>
      <c r="C10" s="1" t="n">
        <v>45831</v>
      </c>
      <c r="D10" t="inlineStr">
        <is>
          <t>VÄSTRA GÖTALANDS LÄN</t>
        </is>
      </c>
      <c r="E10" t="inlineStr">
        <is>
          <t>SOTENÄS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5578-2020</t>
        </is>
      </c>
      <c r="B11" s="1" t="n">
        <v>43859</v>
      </c>
      <c r="C11" s="1" t="n">
        <v>45831</v>
      </c>
      <c r="D11" t="inlineStr">
        <is>
          <t>VÄSTRA GÖTALANDS LÄN</t>
        </is>
      </c>
      <c r="E11" t="inlineStr">
        <is>
          <t>SOTENÄS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5543-2020</t>
        </is>
      </c>
      <c r="B12" s="1" t="n">
        <v>43859</v>
      </c>
      <c r="C12" s="1" t="n">
        <v>45831</v>
      </c>
      <c r="D12" t="inlineStr">
        <is>
          <t>VÄSTRA GÖTALANDS LÄN</t>
        </is>
      </c>
      <c r="E12" t="inlineStr">
        <is>
          <t>SOTENÄS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5585-2020</t>
        </is>
      </c>
      <c r="B13" s="1" t="n">
        <v>43859</v>
      </c>
      <c r="C13" s="1" t="n">
        <v>45831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18964-2020</t>
        </is>
      </c>
      <c r="B14" s="1" t="n">
        <v>43935</v>
      </c>
      <c r="C14" s="1" t="n">
        <v>45831</v>
      </c>
      <c r="D14" t="inlineStr">
        <is>
          <t>VÄSTRA GÖTALANDS LÄN</t>
        </is>
      </c>
      <c r="E14" t="inlineStr">
        <is>
          <t>SOTENÄS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44382-2020</t>
        </is>
      </c>
      <c r="B15" s="1" t="n">
        <v>44084</v>
      </c>
      <c r="C15" s="1" t="n">
        <v>45831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47071-2020</t>
        </is>
      </c>
      <c r="B16" s="1" t="n">
        <v>44096</v>
      </c>
      <c r="C16" s="1" t="n">
        <v>45831</v>
      </c>
      <c r="D16" t="inlineStr">
        <is>
          <t>VÄSTRA GÖTALANDS LÄN</t>
        </is>
      </c>
      <c r="E16" t="inlineStr">
        <is>
          <t>SOTENÄS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45831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50941-2020</t>
        </is>
      </c>
      <c r="B18" s="1" t="n">
        <v>44111</v>
      </c>
      <c r="C18" s="1" t="n">
        <v>45831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12605-2021</t>
        </is>
      </c>
      <c r="B19" s="1" t="n">
        <v>44270</v>
      </c>
      <c r="C19" s="1" t="n">
        <v>45831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18791-2021</t>
        </is>
      </c>
      <c r="B20" s="1" t="n">
        <v>44307</v>
      </c>
      <c r="C20" s="1" t="n">
        <v>45831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21421-2021</t>
        </is>
      </c>
      <c r="B21" s="1" t="n">
        <v>44316</v>
      </c>
      <c r="C21" s="1" t="n">
        <v>45831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21487-2021</t>
        </is>
      </c>
      <c r="B22" s="1" t="n">
        <v>44320</v>
      </c>
      <c r="C22" s="1" t="n">
        <v>45831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43053-2021</t>
        </is>
      </c>
      <c r="B23" s="1" t="n">
        <v>44431</v>
      </c>
      <c r="C23" s="1" t="n">
        <v>45831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43056-2021</t>
        </is>
      </c>
      <c r="B24" s="1" t="n">
        <v>44431</v>
      </c>
      <c r="C24" s="1" t="n">
        <v>45831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51554-2021</t>
        </is>
      </c>
      <c r="B25" s="1" t="n">
        <v>44462</v>
      </c>
      <c r="C25" s="1" t="n">
        <v>45831</v>
      </c>
      <c r="D25" t="inlineStr">
        <is>
          <t>VÄSTRA GÖTALANDS LÄN</t>
        </is>
      </c>
      <c r="E25" t="inlineStr">
        <is>
          <t>SOTENÄS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73020-2021</t>
        </is>
      </c>
      <c r="B26" s="1" t="n">
        <v>44550</v>
      </c>
      <c r="C26" s="1" t="n">
        <v>45831</v>
      </c>
      <c r="D26" t="inlineStr">
        <is>
          <t>VÄSTRA GÖTALANDS LÄN</t>
        </is>
      </c>
      <c r="E26" t="inlineStr">
        <is>
          <t>SOTENÄS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</v>
      </c>
      <c r="C27" s="1" t="n">
        <v>45831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45831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50864-2022</t>
        </is>
      </c>
      <c r="B29" s="1" t="n">
        <v>44867</v>
      </c>
      <c r="C29" s="1" t="n">
        <v>45831</v>
      </c>
      <c r="D29" t="inlineStr">
        <is>
          <t>VÄSTRA GÖTALANDS LÄN</t>
        </is>
      </c>
      <c r="E29" t="inlineStr">
        <is>
          <t>SOTENÄS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54967-2022</t>
        </is>
      </c>
      <c r="B30" s="1" t="n">
        <v>44886</v>
      </c>
      <c r="C30" s="1" t="n">
        <v>45831</v>
      </c>
      <c r="D30" t="inlineStr">
        <is>
          <t>VÄSTRA GÖTALANDS LÄN</t>
        </is>
      </c>
      <c r="E30" t="inlineStr">
        <is>
          <t>SOTENÄS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54976-2022</t>
        </is>
      </c>
      <c r="B31" s="1" t="n">
        <v>44886</v>
      </c>
      <c r="C31" s="1" t="n">
        <v>45831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4033-2023</t>
        </is>
      </c>
      <c r="B32" s="1" t="n">
        <v>44952</v>
      </c>
      <c r="C32" s="1" t="n">
        <v>45831</v>
      </c>
      <c r="D32" t="inlineStr">
        <is>
          <t>VÄSTRA GÖTALANDS LÄN</t>
        </is>
      </c>
      <c r="E32" t="inlineStr">
        <is>
          <t>SOTENÄS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22048-2023</t>
        </is>
      </c>
      <c r="B33" s="1" t="n">
        <v>45069</v>
      </c>
      <c r="C33" s="1" t="n">
        <v>45831</v>
      </c>
      <c r="D33" t="inlineStr">
        <is>
          <t>VÄSTRA GÖTALANDS LÄN</t>
        </is>
      </c>
      <c r="E33" t="inlineStr">
        <is>
          <t>SOTENÄS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24212-2023</t>
        </is>
      </c>
      <c r="B34" s="1" t="n">
        <v>45076</v>
      </c>
      <c r="C34" s="1" t="n">
        <v>45831</v>
      </c>
      <c r="D34" t="inlineStr">
        <is>
          <t>VÄSTRA GÖTALANDS LÄN</t>
        </is>
      </c>
      <c r="E34" t="inlineStr">
        <is>
          <t>SOTENÄS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52477-2023</t>
        </is>
      </c>
      <c r="B35" s="1" t="n">
        <v>45218</v>
      </c>
      <c r="C35" s="1" t="n">
        <v>45831</v>
      </c>
      <c r="D35" t="inlineStr">
        <is>
          <t>VÄSTRA GÖTALANDS LÄN</t>
        </is>
      </c>
      <c r="E35" t="inlineStr">
        <is>
          <t>SOTENÄS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63046-2023</t>
        </is>
      </c>
      <c r="B36" s="1" t="n">
        <v>45272</v>
      </c>
      <c r="C36" s="1" t="n">
        <v>45831</v>
      </c>
      <c r="D36" t="inlineStr">
        <is>
          <t>VÄSTRA GÖTALANDS LÄN</t>
        </is>
      </c>
      <c r="E36" t="inlineStr">
        <is>
          <t>SOTENÄS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4422-2024</t>
        </is>
      </c>
      <c r="B37" s="1" t="n">
        <v>45327</v>
      </c>
      <c r="C37" s="1" t="n">
        <v>45831</v>
      </c>
      <c r="D37" t="inlineStr">
        <is>
          <t>VÄSTRA GÖTALANDS LÄN</t>
        </is>
      </c>
      <c r="E37" t="inlineStr">
        <is>
          <t>SOTENÄS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17491-2024</t>
        </is>
      </c>
      <c r="B38" s="1" t="n">
        <v>45415</v>
      </c>
      <c r="C38" s="1" t="n">
        <v>45831</v>
      </c>
      <c r="D38" t="inlineStr">
        <is>
          <t>VÄSTRA GÖTALANDS LÄN</t>
        </is>
      </c>
      <c r="E38" t="inlineStr">
        <is>
          <t>SOTENÄS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17492-2024</t>
        </is>
      </c>
      <c r="B39" s="1" t="n">
        <v>45415</v>
      </c>
      <c r="C39" s="1" t="n">
        <v>45831</v>
      </c>
      <c r="D39" t="inlineStr">
        <is>
          <t>VÄSTRA GÖTALANDS LÄN</t>
        </is>
      </c>
      <c r="E39" t="inlineStr">
        <is>
          <t>SOTENÄS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19102-2024</t>
        </is>
      </c>
      <c r="B40" s="1" t="n">
        <v>45428</v>
      </c>
      <c r="C40" s="1" t="n">
        <v>45831</v>
      </c>
      <c r="D40" t="inlineStr">
        <is>
          <t>VÄSTRA GÖTALANDS LÄN</t>
        </is>
      </c>
      <c r="E40" t="inlineStr">
        <is>
          <t>SOTENÄS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23714-2024</t>
        </is>
      </c>
      <c r="B41" s="1" t="n">
        <v>45454</v>
      </c>
      <c r="C41" s="1" t="n">
        <v>45831</v>
      </c>
      <c r="D41" t="inlineStr">
        <is>
          <t>VÄSTRA GÖTALANDS LÄN</t>
        </is>
      </c>
      <c r="E41" t="inlineStr">
        <is>
          <t>SOTENÄS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28416-2024</t>
        </is>
      </c>
      <c r="B42" s="1" t="n">
        <v>45477</v>
      </c>
      <c r="C42" s="1" t="n">
        <v>45831</v>
      </c>
      <c r="D42" t="inlineStr">
        <is>
          <t>VÄSTRA GÖTALANDS LÄN</t>
        </is>
      </c>
      <c r="E42" t="inlineStr">
        <is>
          <t>SOTENÄS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28409-2024</t>
        </is>
      </c>
      <c r="B43" s="1" t="n">
        <v>45477</v>
      </c>
      <c r="C43" s="1" t="n">
        <v>45831</v>
      </c>
      <c r="D43" t="inlineStr">
        <is>
          <t>VÄSTRA GÖTALANDS LÄN</t>
        </is>
      </c>
      <c r="E43" t="inlineStr">
        <is>
          <t>SOTENÄS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28418-2024</t>
        </is>
      </c>
      <c r="B44" s="1" t="n">
        <v>45477</v>
      </c>
      <c r="C44" s="1" t="n">
        <v>45831</v>
      </c>
      <c r="D44" t="inlineStr">
        <is>
          <t>VÄSTRA GÖTALANDS LÄN</t>
        </is>
      </c>
      <c r="E44" t="inlineStr">
        <is>
          <t>SOTENÄS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46579-2024</t>
        </is>
      </c>
      <c r="B45" s="1" t="n">
        <v>45582</v>
      </c>
      <c r="C45" s="1" t="n">
        <v>45831</v>
      </c>
      <c r="D45" t="inlineStr">
        <is>
          <t>VÄSTRA GÖTALANDS LÄN</t>
        </is>
      </c>
      <c r="E45" t="inlineStr">
        <is>
          <t>SOTENÄS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46587-2024</t>
        </is>
      </c>
      <c r="B46" s="1" t="n">
        <v>45582</v>
      </c>
      <c r="C46" s="1" t="n">
        <v>45831</v>
      </c>
      <c r="D46" t="inlineStr">
        <is>
          <t>VÄSTRA GÖTALANDS LÄN</t>
        </is>
      </c>
      <c r="E46" t="inlineStr">
        <is>
          <t>SOTENÄS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46588-2024</t>
        </is>
      </c>
      <c r="B47" s="1" t="n">
        <v>45582</v>
      </c>
      <c r="C47" s="1" t="n">
        <v>45831</v>
      </c>
      <c r="D47" t="inlineStr">
        <is>
          <t>VÄSTRA GÖTALANDS LÄN</t>
        </is>
      </c>
      <c r="E47" t="inlineStr">
        <is>
          <t>SOTENÄS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49634-2024</t>
        </is>
      </c>
      <c r="B48" s="1" t="n">
        <v>45596</v>
      </c>
      <c r="C48" s="1" t="n">
        <v>45831</v>
      </c>
      <c r="D48" t="inlineStr">
        <is>
          <t>VÄSTRA GÖTALANDS LÄN</t>
        </is>
      </c>
      <c r="E48" t="inlineStr">
        <is>
          <t>SOTENÄS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49633-2024</t>
        </is>
      </c>
      <c r="B49" s="1" t="n">
        <v>45596</v>
      </c>
      <c r="C49" s="1" t="n">
        <v>45831</v>
      </c>
      <c r="D49" t="inlineStr">
        <is>
          <t>VÄSTRA GÖTALANDS LÄN</t>
        </is>
      </c>
      <c r="E49" t="inlineStr">
        <is>
          <t>SOTENÄS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50648-2024</t>
        </is>
      </c>
      <c r="B50" s="1" t="n">
        <v>45601</v>
      </c>
      <c r="C50" s="1" t="n">
        <v>45831</v>
      </c>
      <c r="D50" t="inlineStr">
        <is>
          <t>VÄSTRA GÖTALANDS LÄN</t>
        </is>
      </c>
      <c r="E50" t="inlineStr">
        <is>
          <t>SOTENÄS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59231-2024</t>
        </is>
      </c>
      <c r="B51" s="1" t="n">
        <v>45637</v>
      </c>
      <c r="C51" s="1" t="n">
        <v>45831</v>
      </c>
      <c r="D51" t="inlineStr">
        <is>
          <t>VÄSTRA GÖTALANDS LÄN</t>
        </is>
      </c>
      <c r="E51" t="inlineStr">
        <is>
          <t>SOTENÄS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270-2025</t>
        </is>
      </c>
      <c r="B52" s="1" t="n">
        <v>45660</v>
      </c>
      <c r="C52" s="1" t="n">
        <v>45831</v>
      </c>
      <c r="D52" t="inlineStr">
        <is>
          <t>VÄSTRA GÖTALANDS LÄN</t>
        </is>
      </c>
      <c r="E52" t="inlineStr">
        <is>
          <t>SOTENÄS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3858-2025</t>
        </is>
      </c>
      <c r="B53" s="1" t="n">
        <v>45683</v>
      </c>
      <c r="C53" s="1" t="n">
        <v>45831</v>
      </c>
      <c r="D53" t="inlineStr">
        <is>
          <t>VÄSTRA GÖTALANDS LÄN</t>
        </is>
      </c>
      <c r="E53" t="inlineStr">
        <is>
          <t>SOTENÄS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24086-2025</t>
        </is>
      </c>
      <c r="B54" s="1" t="n">
        <v>45795</v>
      </c>
      <c r="C54" s="1" t="n">
        <v>45831</v>
      </c>
      <c r="D54" t="inlineStr">
        <is>
          <t>VÄSTRA GÖTALANDS LÄN</t>
        </is>
      </c>
      <c r="E54" t="inlineStr">
        <is>
          <t>SOTENÄS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23503-2025</t>
        </is>
      </c>
      <c r="B55" s="1" t="n">
        <v>45795</v>
      </c>
      <c r="C55" s="1" t="n">
        <v>45831</v>
      </c>
      <c r="D55" t="inlineStr">
        <is>
          <t>VÄSTRA GÖTALANDS LÄN</t>
        </is>
      </c>
      <c r="E55" t="inlineStr">
        <is>
          <t>SOTENÄS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2025-06-23T19:16:18Z</dcterms:created>
  <dcterms:modified xmlns:dcterms="http://purl.org/dc/terms/" xmlns:xsi="http://www.w3.org/2001/XMLSchema-instance" xsi:type="dcterms:W3CDTF">2025-06-23T19:16:18Z</dcterms:modified>
</cp:coreProperties>
</file>