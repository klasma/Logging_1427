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24036-2025</t>
        </is>
      </c>
      <c r="B2" t="inlineStr">
        <is>
          <t>avverkningsanmälan</t>
        </is>
      </c>
      <c r="C2" t="inlineStr">
        <is>
          <t>Avverkning för annat ändamål</t>
        </is>
      </c>
      <c r="D2" s="1" t="n">
        <v>45795</v>
      </c>
      <c r="E2" s="1" t="n">
        <v>46306</v>
      </c>
      <c r="F2" t="inlineStr">
        <is>
          <t>VÄSTRA GÖTALANDS LÄN</t>
        </is>
      </c>
      <c r="G2" t="inlineStr">
        <is>
          <t>SOTENÄS</t>
        </is>
      </c>
      <c r="I2" t="n">
        <v>37.1</v>
      </c>
      <c r="J2" t="n">
        <v>3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4</v>
      </c>
      <c r="T2" t="n">
        <v>4</v>
      </c>
      <c r="U2" t="n">
        <v>2</v>
      </c>
      <c r="V2" s="2" t="inlineStr">
        <is>
          <t>Vitfläckig guldvinge
Hårig dolkstekel
Kopparödla
Skogsödla</t>
        </is>
      </c>
      <c r="W2">
        <f>HYPERLINK("https://klasma.github.io/Logging_1427/artfynd/A 24036-2025 artfynd.xlsx", "A 24036-2025")</f>
        <v/>
      </c>
      <c r="X2">
        <f>HYPERLINK("https://klasma.github.io/Logging_1427/kartor/A 24036-2025 karta.png", "A 24036-2025")</f>
        <v/>
      </c>
      <c r="Y2">
        <f>HYPERLINK("https://klasma.github.io/Logging_1427/kartor_geotiff/A 24036-2025 georefererad karta.tif", "A 24036-2025")</f>
        <v/>
      </c>
      <c r="AA2">
        <f>HYPERLINK("https://klasma.github.io/Logging_1427/klagomål/A 24036-2025 FSC-klagomål.docx", "A 24036-2025")</f>
        <v/>
      </c>
      <c r="AB2">
        <f>HYPERLINK("https://klasma.github.io/Logging_1427/klagomålsmail/A 24036-2025 FSC-klagomål mail.docx", "A 24036-2025")</f>
        <v/>
      </c>
      <c r="AC2">
        <f>HYPERLINK("https://klasma.github.io/Logging_1427/tillsyn/A 24036-2025 tillsynsbegäran.docx", "A 24036-2025")</f>
        <v/>
      </c>
      <c r="AD2">
        <f>HYPERLINK("https://klasma.github.io/Logging_1427/tillsynsmail/A 24036-2025 tillsynsbegäran mail.docx", "A 24036-2025")</f>
        <v/>
      </c>
    </row>
    <row r="3" ht="15" customHeight="1">
      <c r="A3" t="inlineStr">
        <is>
          <t>A 24088-2025</t>
        </is>
      </c>
      <c r="B3" t="inlineStr">
        <is>
          <t>avverkningsanmälan</t>
        </is>
      </c>
      <c r="C3" t="inlineStr">
        <is>
          <t>Avverkning för annat ändamål</t>
        </is>
      </c>
      <c r="D3" s="1" t="n">
        <v>45795</v>
      </c>
      <c r="E3" s="1" t="n">
        <v>46306</v>
      </c>
      <c r="F3" t="inlineStr">
        <is>
          <t>VÄSTRA GÖTALANDS LÄN</t>
        </is>
      </c>
      <c r="G3" t="inlineStr">
        <is>
          <t>SOTENÄS</t>
        </is>
      </c>
      <c r="I3" t="n">
        <v>2.8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2</v>
      </c>
      <c r="R3" t="n">
        <v>1</v>
      </c>
      <c r="S3" t="n">
        <v>3</v>
      </c>
      <c r="T3" t="n">
        <v>3</v>
      </c>
      <c r="U3" t="n">
        <v>0</v>
      </c>
      <c r="V3" s="2" t="inlineStr">
        <is>
          <t>Ask
Tusengömming
Blåsippa</t>
        </is>
      </c>
      <c r="W3">
        <f>HYPERLINK("https://klasma.github.io/Logging_1427/artfynd/A 24088-2025 artfynd.xlsx", "A 24088-2025")</f>
        <v/>
      </c>
      <c r="X3">
        <f>HYPERLINK("https://klasma.github.io/Logging_1427/kartor/A 24088-2025 karta.png", "A 24088-2025")</f>
        <v/>
      </c>
      <c r="Y3">
        <f>HYPERLINK("https://klasma.github.io/Logging_1427/kartor_geotiff/A 24088-2025 georefererad karta.tif", "A 24088-2025")</f>
        <v/>
      </c>
      <c r="AA3">
        <f>HYPERLINK("https://klasma.github.io/Logging_1427/klagomål/A 24088-2025 FSC-klagomål.docx", "A 24088-2025")</f>
        <v/>
      </c>
      <c r="AB3">
        <f>HYPERLINK("https://klasma.github.io/Logging_1427/klagomålsmail/A 24088-2025 FSC-klagomål mail.docx", "A 24088-2025")</f>
        <v/>
      </c>
      <c r="AC3">
        <f>HYPERLINK("https://klasma.github.io/Logging_1427/tillsyn/A 24088-2025 tillsynsbegäran.docx", "A 24088-2025")</f>
        <v/>
      </c>
      <c r="AD3">
        <f>HYPERLINK("https://klasma.github.io/Logging_1427/tillsynsmail/A 24088-2025 tillsynsbegäran mail.docx", "A 24088-2025")</f>
        <v/>
      </c>
    </row>
    <row r="4" ht="15" customHeight="1">
      <c r="A4" t="inlineStr">
        <is>
          <t>A 270-2025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45660</v>
      </c>
      <c r="E4" s="1" t="n">
        <v>46306</v>
      </c>
      <c r="F4" t="inlineStr">
        <is>
          <t>VÄSTRA GÖTALANDS LÄN</t>
        </is>
      </c>
      <c r="G4" t="inlineStr">
        <is>
          <t>SOTENÄS</t>
        </is>
      </c>
      <c r="I4" t="n">
        <v>8.9</v>
      </c>
      <c r="J4" t="n">
        <v>1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2</v>
      </c>
      <c r="R4" t="n">
        <v>2</v>
      </c>
      <c r="S4" t="n">
        <v>3</v>
      </c>
      <c r="T4" t="n">
        <v>3</v>
      </c>
      <c r="U4" t="n">
        <v>0</v>
      </c>
      <c r="V4" s="2" t="inlineStr">
        <is>
          <t>Ask
Skogsalm
Skogsödla</t>
        </is>
      </c>
      <c r="W4">
        <f>HYPERLINK("https://klasma.github.io/Logging_1427/artfynd/A 270-2025 artfynd.xlsx", "A 270-2025")</f>
        <v/>
      </c>
      <c r="X4">
        <f>HYPERLINK("https://klasma.github.io/Logging_1427/kartor/A 270-2025 karta.png", "A 270-2025")</f>
        <v/>
      </c>
      <c r="Y4">
        <f>HYPERLINK("https://klasma.github.io/Logging_1427/kartor_geotiff/A 270-2025 georefererad karta.tif", "A 270-2025")</f>
        <v/>
      </c>
      <c r="AA4">
        <f>HYPERLINK("https://klasma.github.io/Logging_1427/klagomål/A 270-2025 FSC-klagomål.docx", "A 270-2025")</f>
        <v/>
      </c>
      <c r="AB4">
        <f>HYPERLINK("https://klasma.github.io/Logging_1427/klagomålsmail/A 270-2025 FSC-klagomål mail.docx", "A 270-2025")</f>
        <v/>
      </c>
      <c r="AC4">
        <f>HYPERLINK("https://klasma.github.io/Logging_1427/tillsyn/A 270-2025 tillsynsbegäran.docx", "A 270-2025")</f>
        <v/>
      </c>
      <c r="AD4">
        <f>HYPERLINK("https://klasma.github.io/Logging_1427/tillsynsmail/A 270-2025 tillsynsbegäran mail.docx", "A 270-2025")</f>
        <v/>
      </c>
    </row>
    <row r="5" ht="15" customHeight="1">
      <c r="A5" t="inlineStr">
        <is>
          <t>A 24087-2025</t>
        </is>
      </c>
      <c r="B5" t="inlineStr">
        <is>
          <t>avverkningsanmälan</t>
        </is>
      </c>
      <c r="C5" t="inlineStr">
        <is>
          <t>Avverkning för annat ändamål</t>
        </is>
      </c>
      <c r="D5" s="1" t="n">
        <v>45795</v>
      </c>
      <c r="E5" s="1" t="n">
        <v>46306</v>
      </c>
      <c r="F5" t="inlineStr">
        <is>
          <t>VÄSTRA GÖTALANDS LÄN</t>
        </is>
      </c>
      <c r="G5" t="inlineStr">
        <is>
          <t>SOTENÄS</t>
        </is>
      </c>
      <c r="I5" t="n">
        <v>30.3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2</v>
      </c>
      <c r="U5" t="n">
        <v>1</v>
      </c>
      <c r="V5" s="2" t="inlineStr">
        <is>
          <t>Rödlånke</t>
        </is>
      </c>
      <c r="W5">
        <f>HYPERLINK("https://klasma.github.io/Logging_1427/artfynd/A 24087-2025 artfynd.xlsx", "A 24087-2025")</f>
        <v/>
      </c>
      <c r="X5">
        <f>HYPERLINK("https://klasma.github.io/Logging_1427/kartor/A 24087-2025 karta.png", "A 24087-2025")</f>
        <v/>
      </c>
      <c r="Y5">
        <f>HYPERLINK("https://klasma.github.io/Logging_1427/kartor_geotiff/A 24087-2025 georefererad karta.tif", "A 24087-2025")</f>
        <v/>
      </c>
      <c r="AA5">
        <f>HYPERLINK("https://klasma.github.io/Logging_1427/klagomål/A 24087-2025 FSC-klagomål.docx", "A 24087-2025")</f>
        <v/>
      </c>
      <c r="AB5">
        <f>HYPERLINK("https://klasma.github.io/Logging_1427/klagomålsmail/A 24087-2025 FSC-klagomål mail.docx", "A 24087-2025")</f>
        <v/>
      </c>
      <c r="AC5">
        <f>HYPERLINK("https://klasma.github.io/Logging_1427/tillsyn/A 24087-2025 tillsynsbegäran.docx", "A 24087-2025")</f>
        <v/>
      </c>
      <c r="AD5">
        <f>HYPERLINK("https://klasma.github.io/Logging_1427/tillsynsmail/A 24087-2025 tillsynsbegäran mail.docx", "A 24087-2025")</f>
        <v/>
      </c>
    </row>
    <row r="6" ht="15" customHeight="1">
      <c r="A6" t="inlineStr">
        <is>
          <t>A 23503-2025</t>
        </is>
      </c>
      <c r="B6" t="inlineStr">
        <is>
          <t>avverkningsanmälan</t>
        </is>
      </c>
      <c r="C6" t="inlineStr">
        <is>
          <t>Avverkning för annat ändamål</t>
        </is>
      </c>
      <c r="D6" s="1" t="n">
        <v>45795</v>
      </c>
      <c r="E6" s="1" t="n">
        <v>46306</v>
      </c>
      <c r="F6" t="inlineStr">
        <is>
          <t>VÄSTRA GÖTALANDS LÄN</t>
        </is>
      </c>
      <c r="G6" t="inlineStr">
        <is>
          <t>SOTENÄS</t>
        </is>
      </c>
      <c r="I6" t="n">
        <v>14.1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s="2" t="inlineStr">
        <is>
          <t>Åkergroda</t>
        </is>
      </c>
      <c r="W6">
        <f>HYPERLINK("https://klasma.github.io/Logging_1427/artfynd/A 23503-2025 artfynd.xlsx", "A 23503-2025")</f>
        <v/>
      </c>
      <c r="X6">
        <f>HYPERLINK("https://klasma.github.io/Logging_1427/kartor/A 23503-2025 karta.png", "A 23503-2025")</f>
        <v/>
      </c>
      <c r="Y6">
        <f>HYPERLINK("https://klasma.github.io/Logging_1427/kartor_geotiff/A 23503-2025 georefererad karta.tif", "A 23503-2025")</f>
        <v/>
      </c>
      <c r="AA6">
        <f>HYPERLINK("https://klasma.github.io/Logging_1427/klagomål/A 23503-2025 FSC-klagomål.docx", "A 23503-2025")</f>
        <v/>
      </c>
      <c r="AB6">
        <f>HYPERLINK("https://klasma.github.io/Logging_1427/klagomålsmail/A 23503-2025 FSC-klagomål mail.docx", "A 23503-2025")</f>
        <v/>
      </c>
      <c r="AC6">
        <f>HYPERLINK("https://klasma.github.io/Logging_1427/tillsyn/A 23503-2025 tillsynsbegäran.docx", "A 23503-2025")</f>
        <v/>
      </c>
      <c r="AD6">
        <f>HYPERLINK("https://klasma.github.io/Logging_1427/tillsynsmail/A 23503-2025 tillsynsbegäran mail.docx", "A 23503-2025")</f>
        <v/>
      </c>
    </row>
    <row r="7" ht="15" customHeight="1">
      <c r="A7" t="inlineStr">
        <is>
          <t>A 50239-2022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44865</v>
      </c>
      <c r="E7" s="1" t="n">
        <v>46306</v>
      </c>
      <c r="F7" t="inlineStr">
        <is>
          <t>VÄSTRA GÖTALANDS LÄN</t>
        </is>
      </c>
      <c r="G7" t="inlineStr">
        <is>
          <t>SOTENÄS</t>
        </is>
      </c>
      <c r="I7" t="n">
        <v>13.2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s="2" t="inlineStr">
        <is>
          <t>Blockskapania</t>
        </is>
      </c>
      <c r="W7">
        <f>HYPERLINK("https://klasma.github.io/Logging_1427/artfynd/A 50239-2022 artfynd.xlsx", "A 50239-2022")</f>
        <v/>
      </c>
      <c r="X7">
        <f>HYPERLINK("https://klasma.github.io/Logging_1427/kartor/A 50239-2022 karta.png", "A 50239-2022")</f>
        <v/>
      </c>
      <c r="Y7">
        <f>HYPERLINK("https://klasma.github.io/Logging_1427/kartor_geotiff/A 50239-2022 georefererad karta.tif", "A 50239-2022")</f>
        <v/>
      </c>
      <c r="AA7">
        <f>HYPERLINK("https://klasma.github.io/Logging_1427/klagomål/A 50239-2022 FSC-klagomål.docx", "A 50239-2022")</f>
        <v/>
      </c>
      <c r="AB7">
        <f>HYPERLINK("https://klasma.github.io/Logging_1427/klagomålsmail/A 50239-2022 FSC-klagomål mail.docx", "A 50239-2022")</f>
        <v/>
      </c>
      <c r="AC7">
        <f>HYPERLINK("https://klasma.github.io/Logging_1427/tillsyn/A 50239-2022 tillsynsbegäran.docx", "A 50239-2022")</f>
        <v/>
      </c>
      <c r="AD7">
        <f>HYPERLINK("https://klasma.github.io/Logging_1427/tillsynsmail/A 50239-2022 tillsynsbegäran mail.docx", "A 50239-2022")</f>
        <v/>
      </c>
    </row>
    <row r="8" ht="15" customHeight="1">
      <c r="A8" t="inlineStr">
        <is>
          <t>A 2980-2026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46038</v>
      </c>
      <c r="E8" s="1" t="n">
        <v>46306</v>
      </c>
      <c r="F8" t="inlineStr">
        <is>
          <t>VÄSTRA GÖTALANDS LÄN</t>
        </is>
      </c>
      <c r="G8" t="inlineStr">
        <is>
          <t>SOTENÄS</t>
        </is>
      </c>
      <c r="I8" t="n">
        <v>1.1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s="2" t="inlineStr">
        <is>
          <t>Blåsippa</t>
        </is>
      </c>
      <c r="W8">
        <f>HYPERLINK("https://klasma.github.io/Logging_1427/artfynd/A 2980-2026 artfynd.xlsx", "A 2980-2026")</f>
        <v/>
      </c>
      <c r="X8">
        <f>HYPERLINK("https://klasma.github.io/Logging_1427/kartor/A 2980-2026 karta.png", "A 2980-2026")</f>
        <v/>
      </c>
      <c r="Y8">
        <f>HYPERLINK("https://klasma.github.io/Logging_1427/kartor_geotiff/A 2980-2026 georefererad karta.tif", "A 2980-2026")</f>
        <v/>
      </c>
      <c r="AA8">
        <f>HYPERLINK("https://klasma.github.io/Logging_1427/klagomål/A 2980-2026 FSC-klagomål.docx", "A 2980-2026")</f>
        <v/>
      </c>
      <c r="AB8">
        <f>HYPERLINK("https://klasma.github.io/Logging_1427/klagomålsmail/A 2980-2026 FSC-klagomål mail.docx", "A 2980-2026")</f>
        <v/>
      </c>
      <c r="AC8">
        <f>HYPERLINK("https://klasma.github.io/Logging_1427/tillsyn/A 2980-2026 tillsynsbegäran.docx", "A 2980-2026")</f>
        <v/>
      </c>
      <c r="AD8">
        <f>HYPERLINK("https://klasma.github.io/Logging_1427/tillsynsmail/A 2980-2026 tillsynsbegäran mail.docx", "A 2980-2026")</f>
        <v/>
      </c>
    </row>
    <row r="9" ht="15" customHeight="1">
      <c r="A9" t="inlineStr">
        <is>
          <t>A 54967-2022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44886</v>
      </c>
      <c r="E9" s="1" t="n">
        <v>46306</v>
      </c>
      <c r="F9" t="inlineStr">
        <is>
          <t>VÄSTRA GÖTALANDS LÄN</t>
        </is>
      </c>
      <c r="G9" t="inlineStr">
        <is>
          <t>SOTENÄS</t>
        </is>
      </c>
      <c r="I9" t="n">
        <v>0.5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s="2" t="inlineStr"/>
    </row>
    <row r="10" ht="15" customHeight="1">
      <c r="A10" t="inlineStr">
        <is>
          <t>A 17492-2024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45415</v>
      </c>
      <c r="E10" s="1" t="n">
        <v>46306</v>
      </c>
      <c r="F10" t="inlineStr">
        <is>
          <t>VÄSTRA GÖTALANDS LÄN</t>
        </is>
      </c>
      <c r="G10" t="inlineStr">
        <is>
          <t>SOTENÄS</t>
        </is>
      </c>
      <c r="I10" t="n">
        <v>7.7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s="2" t="inlineStr"/>
    </row>
    <row r="11" ht="15" customHeight="1">
      <c r="A11" t="inlineStr">
        <is>
          <t>A 4422-2024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45327</v>
      </c>
      <c r="E11" s="1" t="n">
        <v>46306</v>
      </c>
      <c r="F11" t="inlineStr">
        <is>
          <t>VÄSTRA GÖTALANDS LÄN</t>
        </is>
      </c>
      <c r="G11" t="inlineStr">
        <is>
          <t>SOTENÄS</t>
        </is>
      </c>
      <c r="I11" t="n">
        <v>4.5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s="2" t="inlineStr"/>
    </row>
    <row r="12" ht="15" customHeight="1">
      <c r="A12" t="inlineStr">
        <is>
          <t>A 49633-2024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45596</v>
      </c>
      <c r="E12" s="1" t="n">
        <v>46306</v>
      </c>
      <c r="F12" t="inlineStr">
        <is>
          <t>VÄSTRA GÖTALANDS LÄN</t>
        </is>
      </c>
      <c r="G12" t="inlineStr">
        <is>
          <t>SOTENÄS</t>
        </is>
      </c>
      <c r="I12" t="n">
        <v>0.8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s="2" t="inlineStr"/>
    </row>
    <row r="13" ht="15" customHeight="1">
      <c r="A13" t="inlineStr">
        <is>
          <t>A 46579-2024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45582</v>
      </c>
      <c r="E13" s="1" t="n">
        <v>46306</v>
      </c>
      <c r="F13" t="inlineStr">
        <is>
          <t>VÄSTRA GÖTALANDS LÄN</t>
        </is>
      </c>
      <c r="G13" t="inlineStr">
        <is>
          <t>SOTENÄS</t>
        </is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s="2" t="inlineStr"/>
    </row>
    <row r="14" ht="15" customHeight="1">
      <c r="A14" t="inlineStr">
        <is>
          <t>A 28409-2024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45477</v>
      </c>
      <c r="E14" s="1" t="n">
        <v>46306</v>
      </c>
      <c r="F14" t="inlineStr">
        <is>
          <t>VÄSTRA GÖTALANDS LÄN</t>
        </is>
      </c>
      <c r="G14" t="inlineStr">
        <is>
          <t>SOTENÄS</t>
        </is>
      </c>
      <c r="I14" t="n">
        <v>0.4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s="2" t="inlineStr"/>
    </row>
    <row r="15" ht="15" customHeight="1">
      <c r="A15" t="inlineStr">
        <is>
          <t>A 28416-2024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45477</v>
      </c>
      <c r="E15" s="1" t="n">
        <v>46306</v>
      </c>
      <c r="F15" t="inlineStr">
        <is>
          <t>VÄSTRA GÖTALANDS LÄN</t>
        </is>
      </c>
      <c r="G15" t="inlineStr">
        <is>
          <t>SOTENÄS</t>
        </is>
      </c>
      <c r="I15" t="n">
        <v>0.2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s="2" t="inlineStr"/>
    </row>
    <row r="16" ht="15" customHeight="1">
      <c r="A16" t="inlineStr">
        <is>
          <t>A 17491-2024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45415</v>
      </c>
      <c r="E16" s="1" t="n">
        <v>46306</v>
      </c>
      <c r="F16" t="inlineStr">
        <is>
          <t>VÄSTRA GÖTALANDS LÄN</t>
        </is>
      </c>
      <c r="G16" t="inlineStr">
        <is>
          <t>SOTENÄS</t>
        </is>
      </c>
      <c r="I16" t="n">
        <v>6.2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s="2" t="inlineStr"/>
    </row>
    <row r="17" ht="15" customHeight="1">
      <c r="A17" t="inlineStr">
        <is>
          <t>A 46587-2024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45582</v>
      </c>
      <c r="E17" s="1" t="n">
        <v>46306</v>
      </c>
      <c r="F17" t="inlineStr">
        <is>
          <t>VÄSTRA GÖTALANDS LÄN</t>
        </is>
      </c>
      <c r="G17" t="inlineStr">
        <is>
          <t>SOTENÄS</t>
        </is>
      </c>
      <c r="I17" t="n">
        <v>2.8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s="2" t="inlineStr"/>
    </row>
    <row r="18" ht="15" customHeight="1">
      <c r="A18" t="inlineStr">
        <is>
          <t>A 46588-2024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45582</v>
      </c>
      <c r="E18" s="1" t="n">
        <v>46306</v>
      </c>
      <c r="F18" t="inlineStr">
        <is>
          <t>VÄSTRA GÖTALANDS LÄN</t>
        </is>
      </c>
      <c r="G18" t="inlineStr">
        <is>
          <t>SOTENÄS</t>
        </is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s="2" t="inlineStr"/>
    </row>
    <row r="19" ht="15" customHeight="1">
      <c r="A19" t="inlineStr">
        <is>
          <t>A 50864-2022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44867</v>
      </c>
      <c r="E19" s="1" t="n">
        <v>46306</v>
      </c>
      <c r="F19" t="inlineStr">
        <is>
          <t>VÄSTRA GÖTALANDS LÄN</t>
        </is>
      </c>
      <c r="G19" t="inlineStr">
        <is>
          <t>SOTENÄS</t>
        </is>
      </c>
      <c r="I19" t="n">
        <v>3.3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s="2" t="inlineStr"/>
    </row>
    <row r="20" ht="15" customHeight="1">
      <c r="A20" t="inlineStr">
        <is>
          <t>A 24086-2025</t>
        </is>
      </c>
      <c r="B20" t="inlineStr">
        <is>
          <t>avverkningsanmälan</t>
        </is>
      </c>
      <c r="C20" t="inlineStr">
        <is>
          <t>Avverkning för annat ändamål</t>
        </is>
      </c>
      <c r="D20" s="1" t="n">
        <v>45795</v>
      </c>
      <c r="E20" s="1" t="n">
        <v>46306</v>
      </c>
      <c r="F20" t="inlineStr">
        <is>
          <t>VÄSTRA GÖTALANDS LÄN</t>
        </is>
      </c>
      <c r="G20" t="inlineStr">
        <is>
          <t>SOTENÄS</t>
        </is>
      </c>
      <c r="I20" t="n">
        <v>0.7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inlineStr"/>
    </row>
    <row r="21" ht="15" customHeight="1">
      <c r="A21" t="inlineStr">
        <is>
          <t>A 52960-2025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45956</v>
      </c>
      <c r="E21" s="1" t="n">
        <v>46306</v>
      </c>
      <c r="F21" t="inlineStr">
        <is>
          <t>VÄSTRA GÖTALANDS LÄN</t>
        </is>
      </c>
      <c r="G21" t="inlineStr">
        <is>
          <t>SOTENÄS</t>
        </is>
      </c>
      <c r="I21" t="n">
        <v>1.7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28418-2024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45477</v>
      </c>
      <c r="E22" s="1" t="n">
        <v>46306</v>
      </c>
      <c r="F22" t="inlineStr">
        <is>
          <t>VÄSTRA GÖTALANDS LÄN</t>
        </is>
      </c>
      <c r="G22" t="inlineStr">
        <is>
          <t>SOTENÄS</t>
        </is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 ht="15" customHeight="1">
      <c r="A23" t="inlineStr">
        <is>
          <t>A 59231-2024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45637</v>
      </c>
      <c r="E23" s="1" t="n">
        <v>46306</v>
      </c>
      <c r="F23" t="inlineStr">
        <is>
          <t>VÄSTRA GÖTALANDS LÄN</t>
        </is>
      </c>
      <c r="G23" t="inlineStr">
        <is>
          <t>SOTENÄS</t>
        </is>
      </c>
      <c r="I23" t="n">
        <v>1.3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4780-2022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44592</v>
      </c>
      <c r="E24" s="1" t="n">
        <v>46306</v>
      </c>
      <c r="F24" t="inlineStr">
        <is>
          <t>VÄSTRA GÖTALANDS LÄN</t>
        </is>
      </c>
      <c r="G24" t="inlineStr">
        <is>
          <t>SOTENÄS</t>
        </is>
      </c>
      <c r="I24" t="n">
        <v>0.9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49634-2024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45596</v>
      </c>
      <c r="E25" s="1" t="n">
        <v>46306</v>
      </c>
      <c r="F25" t="inlineStr">
        <is>
          <t>VÄSTRA GÖTALANDS LÄN</t>
        </is>
      </c>
      <c r="G25" t="inlineStr">
        <is>
          <t>SOTENÄS</t>
        </is>
      </c>
      <c r="I25" t="n">
        <v>0.7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22789-2026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46157</v>
      </c>
      <c r="E26" s="1" t="n">
        <v>46306</v>
      </c>
      <c r="F26" t="inlineStr">
        <is>
          <t>VÄSTRA GÖTALANDS LÄN</t>
        </is>
      </c>
      <c r="G26" t="inlineStr">
        <is>
          <t>SOTENÄS</t>
        </is>
      </c>
      <c r="I26" t="n">
        <v>2.7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36765-2026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46272</v>
      </c>
      <c r="E27" s="1" t="n">
        <v>46306</v>
      </c>
      <c r="F27" t="inlineStr">
        <is>
          <t>VÄSTRA GÖTALANDS LÄN</t>
        </is>
      </c>
      <c r="G27" t="inlineStr">
        <is>
          <t>SOTENÄS</t>
        </is>
      </c>
      <c r="I27" t="n">
        <v>0.7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35770-2026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46264</v>
      </c>
      <c r="E28" s="1" t="n">
        <v>46306</v>
      </c>
      <c r="F28" t="inlineStr">
        <is>
          <t>VÄSTRA GÖTALANDS LÄN</t>
        </is>
      </c>
      <c r="G28" t="inlineStr">
        <is>
          <t>SOTENÄS</t>
        </is>
      </c>
      <c r="I28" t="n">
        <v>0.9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>
      <c r="A29" t="inlineStr">
        <is>
          <t>S 2369-2025</t>
        </is>
      </c>
      <c r="B29" t="inlineStr">
        <is>
          <t>samrådsanmälan</t>
        </is>
      </c>
      <c r="C29" t="inlineStr">
        <is>
          <t>Annan skogsbruksåtgärd</t>
        </is>
      </c>
      <c r="D29" s="1" t="n">
        <v>45890</v>
      </c>
      <c r="E29" s="1" t="n">
        <v>46306</v>
      </c>
      <c r="F29" t="inlineStr">
        <is>
          <t>VÄSTRA GÖTALANDS LÄN</t>
        </is>
      </c>
      <c r="G29" t="inlineStr">
        <is>
          <t>SOTENÄS</t>
        </is>
      </c>
      <c r="H29" t="inlineStr">
        <is>
          <t>Kommuner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2026-10-11T02:07:18Z</dcterms:created>
  <dcterms:modified xmlns:dcterms="http://purl.org/dc/terms/" xmlns:xsi="http://www.w3.org/2001/XMLSchema-instance" xsi:type="dcterms:W3CDTF">2026-10-11T02:07:18Z</dcterms:modified>
</cp:coreProperties>
</file>