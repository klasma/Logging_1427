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46233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46233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46233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46038</v>
      </c>
      <c r="E5" s="1" t="n">
        <v>46233</v>
      </c>
      <c r="F5" t="inlineStr">
        <is>
          <t>VÄSTRA GÖTALANDS LÄN</t>
        </is>
      </c>
      <c r="G5" t="inlineStr">
        <is>
          <t>SOTENÄS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HYPERLINK("https://klasma.github.io/Logging_1427/artfynd/A 2980-2026 artfynd.xlsx", "A 2980-2026")</f>
        <v/>
      </c>
      <c r="X5">
        <f>HYPERLINK("https://klasma.github.io/Logging_1427/kartor/A 2980-2026 karta.png", "A 2980-2026")</f>
        <v/>
      </c>
      <c r="Y5">
        <f>HYPERLINK("https://klasma.github.io/Logging_1427/kartor_geotiff/A 2980-2026 georefererad karta.tif", "A 2980-2026")</f>
        <v/>
      </c>
      <c r="AA5">
        <f>HYPERLINK("https://klasma.github.io/Logging_1427/klagomål/A 2980-2026 FSC-klagomål.docx", "A 2980-2026")</f>
        <v/>
      </c>
      <c r="AB5">
        <f>HYPERLINK("https://klasma.github.io/Logging_1427/klagomålsmail/A 2980-2026 FSC-klagomål mail.docx", "A 2980-2026")</f>
        <v/>
      </c>
      <c r="AC5">
        <f>HYPERLINK("https://klasma.github.io/Logging_1427/tillsyn/A 2980-2026 tillsynsbegäran.docx", "A 2980-2026")</f>
        <v/>
      </c>
      <c r="AD5">
        <f>HYPERLINK("https://klasma.github.io/Logging_1427/tillsynsmail/A 2980-2026 tillsynsbegäran mail.docx", "A 2980-2026")</f>
        <v/>
      </c>
    </row>
    <row r="6" ht="15" customHeight="1">
      <c r="A6" t="inlineStr">
        <is>
          <t>A 50239-2022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44865</v>
      </c>
      <c r="E6" s="1" t="n">
        <v>46233</v>
      </c>
      <c r="F6" t="inlineStr">
        <is>
          <t>VÄSTRA GÖTALANDS LÄN</t>
        </is>
      </c>
      <c r="G6" t="inlineStr">
        <is>
          <t>SOTENÄS</t>
        </is>
      </c>
      <c r="I6" t="n">
        <v>13.2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Blockskapania</t>
        </is>
      </c>
      <c r="W6">
        <f>HYPERLINK("https://klasma.github.io/Logging_1427/artfynd/A 50239-2022 artfynd.xlsx", "A 50239-2022")</f>
        <v/>
      </c>
      <c r="X6">
        <f>HYPERLINK("https://klasma.github.io/Logging_1427/kartor/A 50239-2022 karta.png", "A 50239-2022")</f>
        <v/>
      </c>
      <c r="Y6">
        <f>HYPERLINK("https://klasma.github.io/Logging_1427/kartor_geotiff/A 50239-2022 georefererad karta.tif", "A 50239-2022")</f>
        <v/>
      </c>
      <c r="AA6">
        <f>HYPERLINK("https://klasma.github.io/Logging_1427/klagomål/A 50239-2022 FSC-klagomål.docx", "A 50239-2022")</f>
        <v/>
      </c>
      <c r="AB6">
        <f>HYPERLINK("https://klasma.github.io/Logging_1427/klagomålsmail/A 50239-2022 FSC-klagomål mail.docx", "A 50239-2022")</f>
        <v/>
      </c>
      <c r="AC6">
        <f>HYPERLINK("https://klasma.github.io/Logging_1427/tillsyn/A 50239-2022 tillsynsbegäran.docx", "A 50239-2022")</f>
        <v/>
      </c>
      <c r="AD6">
        <f>HYPERLINK("https://klasma.github.io/Logging_1427/tillsynsmail/A 50239-2022 tillsynsbegäran mail.docx", "A 50239-2022")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46233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46233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46233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46233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46233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46233</v>
      </c>
      <c r="F12" t="inlineStr">
        <is>
          <t>VÄSTRA GÖTALANDS LÄN</t>
        </is>
      </c>
      <c r="G12" t="inlineStr">
        <is>
          <t>SOTENÄS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46233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24086-2025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45795</v>
      </c>
      <c r="E14" s="1" t="n">
        <v>46233</v>
      </c>
      <c r="F14" t="inlineStr">
        <is>
          <t>VÄSTRA GÖTALANDS LÄN</t>
        </is>
      </c>
      <c r="G14" t="inlineStr">
        <is>
          <t>SOTENÄS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46587-2024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46233</v>
      </c>
      <c r="F15" t="inlineStr">
        <is>
          <t>VÄSTRA GÖTALANDS LÄN</t>
        </is>
      </c>
      <c r="G15" t="inlineStr">
        <is>
          <t>SOTENÄS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46588-2024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46233</v>
      </c>
      <c r="F16" t="inlineStr">
        <is>
          <t>VÄSTRA GÖTALANDS LÄN</t>
        </is>
      </c>
      <c r="G16" t="inlineStr">
        <is>
          <t>SOTENÄS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46233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28418-2024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45477</v>
      </c>
      <c r="E18" s="1" t="n">
        <v>46233</v>
      </c>
      <c r="F18" t="inlineStr">
        <is>
          <t>VÄSTRA GÖTALANDS LÄN</t>
        </is>
      </c>
      <c r="G18" t="inlineStr">
        <is>
          <t>SOTENÄS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4422-2024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46233</v>
      </c>
      <c r="F19" t="inlineStr">
        <is>
          <t>VÄSTRA GÖTALANDS LÄN</t>
        </is>
      </c>
      <c r="G19" t="inlineStr">
        <is>
          <t>SOTENÄS</t>
        </is>
      </c>
      <c r="I19" t="n">
        <v>4.5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46157</v>
      </c>
      <c r="E20" s="1" t="n">
        <v>46233</v>
      </c>
      <c r="F20" t="inlineStr">
        <is>
          <t>VÄSTRA GÖTALANDS LÄN</t>
        </is>
      </c>
      <c r="G20" t="inlineStr">
        <is>
          <t>SOTENÄS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59231-2024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46233</v>
      </c>
      <c r="F21" t="inlineStr">
        <is>
          <t>VÄSTRA GÖTALANDS LÄN</t>
        </is>
      </c>
      <c r="G21" t="inlineStr">
        <is>
          <t>SOTENÄS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44592</v>
      </c>
      <c r="E22" s="1" t="n">
        <v>46233</v>
      </c>
      <c r="F22" t="inlineStr">
        <is>
          <t>VÄSTRA GÖTALANDS LÄN</t>
        </is>
      </c>
      <c r="G22" t="inlineStr">
        <is>
          <t>SOTENÄS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46233</v>
      </c>
      <c r="F23" t="inlineStr">
        <is>
          <t>VÄSTRA GÖTALANDS LÄN</t>
        </is>
      </c>
      <c r="G23" t="inlineStr">
        <is>
          <t>SOTENÄS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27005-2026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46233</v>
      </c>
      <c r="F24" t="inlineStr">
        <is>
          <t>VÄSTRA GÖTALANDS LÄN</t>
        </is>
      </c>
      <c r="G24" t="inlineStr">
        <is>
          <t>SOTENÄS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46233</v>
      </c>
      <c r="F25" t="inlineStr">
        <is>
          <t>VÄSTRA GÖTALANDS LÄN</t>
        </is>
      </c>
      <c r="G25" t="inlineStr">
        <is>
          <t>SOTENÄS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46579-2024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45582</v>
      </c>
      <c r="E26" s="1" t="n">
        <v>46233</v>
      </c>
      <c r="F26" t="inlineStr">
        <is>
          <t>VÄSTRA GÖTALANDS LÄN</t>
        </is>
      </c>
      <c r="G26" t="inlineStr">
        <is>
          <t>SOTENÄS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28416-2024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46233</v>
      </c>
      <c r="F27" t="inlineStr">
        <is>
          <t>VÄSTRA GÖTALANDS LÄN</t>
        </is>
      </c>
      <c r="G27" t="inlineStr">
        <is>
          <t>SOTENÄS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17491-2024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45415</v>
      </c>
      <c r="E28" s="1" t="n">
        <v>46233</v>
      </c>
      <c r="F28" t="inlineStr">
        <is>
          <t>VÄSTRA GÖTALANDS LÄN</t>
        </is>
      </c>
      <c r="G28" t="inlineStr">
        <is>
          <t>SOTENÄS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50864-2022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46233</v>
      </c>
      <c r="F29" t="inlineStr">
        <is>
          <t>VÄSTRA GÖTALANDS LÄN</t>
        </is>
      </c>
      <c r="G29" t="inlineStr">
        <is>
          <t>SOTENÄS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46233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2026-07-30T01:54:07Z</dcterms:created>
  <dcterms:modified xmlns:dcterms="http://purl.org/dc/terms/" xmlns:xsi="http://www.w3.org/2001/XMLSchema-instance" xsi:type="dcterms:W3CDTF">2026-07-30T01:54:07Z</dcterms:modified>
</cp:coreProperties>
</file>