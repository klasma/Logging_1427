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46181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2980-2026</t>
        </is>
      </c>
      <c r="B3" s="1" t="n">
        <v>46038.62965277778</v>
      </c>
      <c r="C3" s="1" t="n">
        <v>46181</v>
      </c>
      <c r="D3" t="inlineStr">
        <is>
          <t>VÄSTRA GÖTALANDS LÄN</t>
        </is>
      </c>
      <c r="E3" t="inlineStr">
        <is>
          <t>SOTENÄS</t>
        </is>
      </c>
      <c r="G3" t="n">
        <v>1.1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2980-2026 artfynd.xlsx", "A 2980-2026")</f>
        <v/>
      </c>
      <c r="T3">
        <f>HYPERLINK("https://klasma.github.io/Logging_1427/kartor/A 2980-2026 karta.png", "A 2980-2026")</f>
        <v/>
      </c>
      <c r="V3">
        <f>HYPERLINK("https://klasma.github.io/Logging_1427/klagomål/A 2980-2026 FSC-klagomål.docx", "A 2980-2026")</f>
        <v/>
      </c>
      <c r="W3">
        <f>HYPERLINK("https://klasma.github.io/Logging_1427/klagomålsmail/A 2980-2026 FSC-klagomål mail.docx", "A 2980-2026")</f>
        <v/>
      </c>
      <c r="X3">
        <f>HYPERLINK("https://klasma.github.io/Logging_1427/tillsyn/A 2980-2026 tillsynsbegäran.docx", "A 2980-2026")</f>
        <v/>
      </c>
      <c r="Y3">
        <f>HYPERLINK("https://klasma.github.io/Logging_1427/tillsynsmail/A 2980-2026 tillsynsbegäran mail.docx", "A 2980-2026")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46181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HYPERLINK("https://klasma.github.io/Logging_1427/artfynd/A 24087-2025 artfynd.xlsx", "A 24087-2025")</f>
        <v/>
      </c>
      <c r="T4">
        <f>HYPERLINK("https://klasma.github.io/Logging_1427/kartor/A 24087-2025 karta.png", "A 24087-2025")</f>
        <v/>
      </c>
      <c r="V4">
        <f>HYPERLINK("https://klasma.github.io/Logging_1427/klagomål/A 24087-2025 FSC-klagomål.docx", "A 24087-2025")</f>
        <v/>
      </c>
      <c r="W4">
        <f>HYPERLINK("https://klasma.github.io/Logging_1427/klagomålsmail/A 24087-2025 FSC-klagomål mail.docx", "A 24087-2025")</f>
        <v/>
      </c>
      <c r="X4">
        <f>HYPERLINK("https://klasma.github.io/Logging_1427/tillsyn/A 24087-2025 tillsynsbegäran.docx", "A 24087-2025")</f>
        <v/>
      </c>
      <c r="Y4">
        <f>HYPERLINK("https://klasma.github.io/Logging_1427/tillsynsmail/A 24087-2025 tillsynsbegäran mail.docx", "A 24087-2025")</f>
        <v/>
      </c>
    </row>
    <row r="5" ht="15" customHeight="1">
      <c r="A5" t="inlineStr">
        <is>
          <t>A 24088-2025</t>
        </is>
      </c>
      <c r="B5" s="1" t="n">
        <v>45795</v>
      </c>
      <c r="C5" s="1" t="n">
        <v>46181</v>
      </c>
      <c r="D5" t="inlineStr">
        <is>
          <t>VÄSTRA GÖTALANDS LÄN</t>
        </is>
      </c>
      <c r="E5" t="inlineStr">
        <is>
          <t>SOTENÄS</t>
        </is>
      </c>
      <c r="G5" t="n">
        <v>2.8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24088-2025 artfynd.xlsx", "A 24088-2025")</f>
        <v/>
      </c>
      <c r="T5">
        <f>HYPERLINK("https://klasma.github.io/Logging_1427/kartor/A 24088-2025 karta.png", "A 24088-2025")</f>
        <v/>
      </c>
      <c r="V5">
        <f>HYPERLINK("https://klasma.github.io/Logging_1427/klagomål/A 24088-2025 FSC-klagomål.docx", "A 24088-2025")</f>
        <v/>
      </c>
      <c r="W5">
        <f>HYPERLINK("https://klasma.github.io/Logging_1427/klagomålsmail/A 24088-2025 FSC-klagomål mail.docx", "A 24088-2025")</f>
        <v/>
      </c>
      <c r="X5">
        <f>HYPERLINK("https://klasma.github.io/Logging_1427/tillsyn/A 24088-2025 tillsynsbegäran.docx", "A 24088-2025")</f>
        <v/>
      </c>
      <c r="Y5">
        <f>HYPERLINK("https://klasma.github.io/Logging_1427/tillsynsmail/A 24088-2025 tillsynsbegäran mail.docx", "A 24088-2025")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46181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46181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23503-2025</t>
        </is>
      </c>
      <c r="B11" s="1" t="n">
        <v>45795</v>
      </c>
      <c r="C11" s="1" t="n">
        <v>46181</v>
      </c>
      <c r="D11" t="inlineStr">
        <is>
          <t>VÄSTRA GÖTALANDS LÄN</t>
        </is>
      </c>
      <c r="E11" t="inlineStr">
        <is>
          <t>SOTENÄS</t>
        </is>
      </c>
      <c r="G11" t="n">
        <v>14.1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50864-2022</t>
        </is>
      </c>
      <c r="B12" s="1" t="n">
        <v>44867.56143518518</v>
      </c>
      <c r="C12" s="1" t="n">
        <v>46181</v>
      </c>
      <c r="D12" t="inlineStr">
        <is>
          <t>VÄSTRA GÖTALANDS LÄN</t>
        </is>
      </c>
      <c r="E12" t="inlineStr">
        <is>
          <t>SOTENÄS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46181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46181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46181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46181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46181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46181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46181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46181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46181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46181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46181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46181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13377-2026</t>
        </is>
      </c>
      <c r="B25" s="1" t="n">
        <v>46094.42254629629</v>
      </c>
      <c r="C25" s="1" t="n">
        <v>46181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46181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46181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22789-2026</t>
        </is>
      </c>
      <c r="B28" s="1" t="n">
        <v>46157.65427083334</v>
      </c>
      <c r="C28" s="1" t="n">
        <v>46181</v>
      </c>
      <c r="D28" t="inlineStr">
        <is>
          <t>VÄSTRA GÖTALANDS LÄN</t>
        </is>
      </c>
      <c r="E28" t="inlineStr">
        <is>
          <t>SOTENÄS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46181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46181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46181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46181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46181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19356-2026</t>
        </is>
      </c>
      <c r="B34" s="1" t="n">
        <v>46133.49429398148</v>
      </c>
      <c r="C34" s="1" t="n">
        <v>46181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46181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28416-2024</t>
        </is>
      </c>
      <c r="B36" s="1" t="n">
        <v>45477.62978009259</v>
      </c>
      <c r="C36" s="1" t="n">
        <v>46181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17491-2024</t>
        </is>
      </c>
      <c r="B37" s="1" t="n">
        <v>45415.50266203703</v>
      </c>
      <c r="C37" s="1" t="n">
        <v>46181</v>
      </c>
      <c r="D37" t="inlineStr">
        <is>
          <t>VÄSTRA GÖTALANDS LÄN</t>
        </is>
      </c>
      <c r="E37" t="inlineStr">
        <is>
          <t>SOTENÄS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2026-06-08T10:40:09Z</dcterms:created>
  <dcterms:modified xmlns:dcterms="http://purl.org/dc/terms/" xmlns:xsi="http://www.w3.org/2001/XMLSchema-instance" xsi:type="dcterms:W3CDTF">2026-06-08T10:40:09Z</dcterms:modified>
</cp:coreProperties>
</file>