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E29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Typ</t>
        </is>
      </c>
      <c r="C1" t="inlineStr">
        <is>
          <t>Åtgärd</t>
        </is>
      </c>
      <c r="D1" t="inlineStr">
        <is>
          <t>Datum</t>
        </is>
      </c>
      <c r="E1" t="inlineStr">
        <is>
          <t>Förändrad</t>
        </is>
      </c>
      <c r="F1" t="inlineStr">
        <is>
          <t>Län</t>
        </is>
      </c>
      <c r="G1" t="inlineStr">
        <is>
          <t>Kommun</t>
        </is>
      </c>
      <c r="H1" t="inlineStr">
        <is>
          <t>Markägare</t>
        </is>
      </c>
      <c r="I1" t="inlineStr">
        <is>
          <t>Area (ha)</t>
        </is>
      </c>
      <c r="J1" t="inlineStr">
        <is>
          <t>Fridlysta</t>
        </is>
      </c>
      <c r="K1" t="inlineStr">
        <is>
          <t>Signalarter</t>
        </is>
      </c>
      <c r="L1" t="inlineStr">
        <is>
          <t>NT</t>
        </is>
      </c>
      <c r="M1" t="inlineStr">
        <is>
          <t>VU</t>
        </is>
      </c>
      <c r="N1" t="inlineStr">
        <is>
          <t>EN</t>
        </is>
      </c>
      <c r="O1" t="inlineStr">
        <is>
          <t>CR</t>
        </is>
      </c>
      <c r="P1" t="inlineStr">
        <is>
          <t>RE</t>
        </is>
      </c>
      <c r="Q1" t="inlineStr">
        <is>
          <t>Rödlistade</t>
        </is>
      </c>
      <c r="R1" t="inlineStr">
        <is>
          <t>Hotade</t>
        </is>
      </c>
      <c r="S1" t="inlineStr">
        <is>
          <t>Alla arter</t>
        </is>
      </c>
      <c r="T1" t="inlineStr">
        <is>
          <t>Fynd</t>
        </is>
      </c>
      <c r="U1" t="inlineStr">
        <is>
          <t>Nya fynd</t>
        </is>
      </c>
      <c r="V1" t="inlineStr">
        <is>
          <t>Artnamn</t>
        </is>
      </c>
      <c r="W1" t="inlineStr">
        <is>
          <t>Artfyndslänk</t>
        </is>
      </c>
      <c r="X1" t="inlineStr">
        <is>
          <t>Kartlänk</t>
        </is>
      </c>
      <c r="Y1" t="inlineStr">
        <is>
          <t>Geotifflänk</t>
        </is>
      </c>
      <c r="Z1" t="inlineStr">
        <is>
          <t>Knärotsbuffertlänk</t>
        </is>
      </c>
      <c r="AA1" t="inlineStr">
        <is>
          <t>Klagomålslänk</t>
        </is>
      </c>
      <c r="AB1" t="inlineStr">
        <is>
          <t>Klagomålsmaillänk</t>
        </is>
      </c>
      <c r="AC1" t="inlineStr">
        <is>
          <t>Tillsynsbegäranslänk</t>
        </is>
      </c>
      <c r="AD1" t="inlineStr">
        <is>
          <t>Tillsynsbegäransmaillänk</t>
        </is>
      </c>
      <c r="AE1" t="inlineStr">
        <is>
          <t>Fågeltillsynsbegäranslänk</t>
        </is>
      </c>
    </row>
    <row r="2" ht="15" customHeight="1">
      <c r="A2" t="inlineStr">
        <is>
          <t>A 24036-2025</t>
        </is>
      </c>
      <c r="B2" t="inlineStr">
        <is>
          <t>avverkningsanmälan</t>
        </is>
      </c>
      <c r="C2" t="inlineStr">
        <is>
          <t>Avverkning för annat ändamål</t>
        </is>
      </c>
      <c r="D2" s="1" t="n">
        <v>45795</v>
      </c>
      <c r="E2" s="1" t="n">
        <v>46309</v>
      </c>
      <c r="F2" t="inlineStr">
        <is>
          <t>VÄSTRA GÖTALANDS LÄN</t>
        </is>
      </c>
      <c r="G2" t="inlineStr">
        <is>
          <t>SOTENÄS</t>
        </is>
      </c>
      <c r="I2" t="n">
        <v>37.1</v>
      </c>
      <c r="J2" t="n">
        <v>3</v>
      </c>
      <c r="K2" t="n">
        <v>0</v>
      </c>
      <c r="L2" t="n">
        <v>1</v>
      </c>
      <c r="M2" t="n">
        <v>0</v>
      </c>
      <c r="N2" t="n">
        <v>0</v>
      </c>
      <c r="O2" t="n">
        <v>0</v>
      </c>
      <c r="P2" t="n">
        <v>0</v>
      </c>
      <c r="Q2" t="n">
        <v>1</v>
      </c>
      <c r="R2" t="n">
        <v>0</v>
      </c>
      <c r="S2" t="n">
        <v>4</v>
      </c>
      <c r="T2" t="n">
        <v>4</v>
      </c>
      <c r="U2" t="n">
        <v>2</v>
      </c>
      <c r="V2" s="2" t="inlineStr">
        <is>
          <t>Vitfläckig guldvinge
Hårig dolkstekel
Kopparödla
Skogsödla</t>
        </is>
      </c>
      <c r="W2">
        <f>HYPERLINK("https://klasma.github.io/Logging_1427/artfynd/A 24036-2025 artfynd.xlsx", "A 24036-2025")</f>
        <v/>
      </c>
      <c r="X2">
        <f>HYPERLINK("https://klasma.github.io/Logging_1427/kartor/A 24036-2025 karta.png", "A 24036-2025")</f>
        <v/>
      </c>
      <c r="Y2">
        <f>HYPERLINK("https://klasma.github.io/Logging_1427/kartor_geotiff/A 24036-2025 georefererad karta.tif", "A 24036-2025")</f>
        <v/>
      </c>
      <c r="AA2">
        <f>HYPERLINK("https://klasma.github.io/Logging_1427/klagomål/A 24036-2025 FSC-klagomål.docx", "A 24036-2025")</f>
        <v/>
      </c>
      <c r="AB2">
        <f>HYPERLINK("https://klasma.github.io/Logging_1427/klagomålsmail/A 24036-2025 FSC-klagomål mail.docx", "A 24036-2025")</f>
        <v/>
      </c>
      <c r="AC2">
        <f>HYPERLINK("https://klasma.github.io/Logging_1427/tillsyn/A 24036-2025 tillsynsbegäran.docx", "A 24036-2025")</f>
        <v/>
      </c>
      <c r="AD2">
        <f>HYPERLINK("https://klasma.github.io/Logging_1427/tillsynsmail/A 24036-2025 tillsynsbegäran mail.docx", "A 24036-2025")</f>
        <v/>
      </c>
    </row>
    <row r="3" ht="15" customHeight="1">
      <c r="A3" t="inlineStr">
        <is>
          <t>A 24088-2025</t>
        </is>
      </c>
      <c r="B3" t="inlineStr">
        <is>
          <t>avverkningsanmälan</t>
        </is>
      </c>
      <c r="C3" t="inlineStr">
        <is>
          <t>Avverkning för annat ändamål</t>
        </is>
      </c>
      <c r="D3" s="1" t="n">
        <v>45795</v>
      </c>
      <c r="E3" s="1" t="n">
        <v>46309</v>
      </c>
      <c r="F3" t="inlineStr">
        <is>
          <t>VÄSTRA GÖTALANDS LÄN</t>
        </is>
      </c>
      <c r="G3" t="inlineStr">
        <is>
          <t>SOTENÄS</t>
        </is>
      </c>
      <c r="I3" t="n">
        <v>2.8</v>
      </c>
      <c r="J3" t="n">
        <v>1</v>
      </c>
      <c r="K3" t="n">
        <v>0</v>
      </c>
      <c r="L3" t="n">
        <v>1</v>
      </c>
      <c r="M3" t="n">
        <v>0</v>
      </c>
      <c r="N3" t="n">
        <v>1</v>
      </c>
      <c r="O3" t="n">
        <v>0</v>
      </c>
      <c r="P3" t="n">
        <v>0</v>
      </c>
      <c r="Q3" t="n">
        <v>2</v>
      </c>
      <c r="R3" t="n">
        <v>1</v>
      </c>
      <c r="S3" t="n">
        <v>3</v>
      </c>
      <c r="T3" t="n">
        <v>3</v>
      </c>
      <c r="U3" t="n">
        <v>0</v>
      </c>
      <c r="V3" s="2" t="inlineStr">
        <is>
          <t>Ask
Tusengömming
Blåsippa</t>
        </is>
      </c>
      <c r="W3">
        <f>HYPERLINK("https://klasma.github.io/Logging_1427/artfynd/A 24088-2025 artfynd.xlsx", "A 24088-2025")</f>
        <v/>
      </c>
      <c r="X3">
        <f>HYPERLINK("https://klasma.github.io/Logging_1427/kartor/A 24088-2025 karta.png", "A 24088-2025")</f>
        <v/>
      </c>
      <c r="Y3">
        <f>HYPERLINK("https://klasma.github.io/Logging_1427/kartor_geotiff/A 24088-2025 georefererad karta.tif", "A 24088-2025")</f>
        <v/>
      </c>
      <c r="AA3">
        <f>HYPERLINK("https://klasma.github.io/Logging_1427/klagomål/A 24088-2025 FSC-klagomål.docx", "A 24088-2025")</f>
        <v/>
      </c>
      <c r="AB3">
        <f>HYPERLINK("https://klasma.github.io/Logging_1427/klagomålsmail/A 24088-2025 FSC-klagomål mail.docx", "A 24088-2025")</f>
        <v/>
      </c>
      <c r="AC3">
        <f>HYPERLINK("https://klasma.github.io/Logging_1427/tillsyn/A 24088-2025 tillsynsbegäran.docx", "A 24088-2025")</f>
        <v/>
      </c>
      <c r="AD3">
        <f>HYPERLINK("https://klasma.github.io/Logging_1427/tillsynsmail/A 24088-2025 tillsynsbegäran mail.docx", "A 24088-2025")</f>
        <v/>
      </c>
    </row>
    <row r="4" ht="15" customHeight="1">
      <c r="A4" t="inlineStr">
        <is>
          <t>A 270-2025</t>
        </is>
      </c>
      <c r="B4" t="inlineStr">
        <is>
          <t>avverkningsanmälan</t>
        </is>
      </c>
      <c r="C4" t="inlineStr">
        <is>
          <t>Föryngringsavverkning</t>
        </is>
      </c>
      <c r="D4" s="1" t="n">
        <v>45660</v>
      </c>
      <c r="E4" s="1" t="n">
        <v>46309</v>
      </c>
      <c r="F4" t="inlineStr">
        <is>
          <t>VÄSTRA GÖTALANDS LÄN</t>
        </is>
      </c>
      <c r="G4" t="inlineStr">
        <is>
          <t>SOTENÄS</t>
        </is>
      </c>
      <c r="I4" t="n">
        <v>8.9</v>
      </c>
      <c r="J4" t="n">
        <v>1</v>
      </c>
      <c r="K4" t="n">
        <v>0</v>
      </c>
      <c r="L4" t="n">
        <v>0</v>
      </c>
      <c r="M4" t="n">
        <v>0</v>
      </c>
      <c r="N4" t="n">
        <v>2</v>
      </c>
      <c r="O4" t="n">
        <v>0</v>
      </c>
      <c r="P4" t="n">
        <v>0</v>
      </c>
      <c r="Q4" t="n">
        <v>2</v>
      </c>
      <c r="R4" t="n">
        <v>2</v>
      </c>
      <c r="S4" t="n">
        <v>3</v>
      </c>
      <c r="T4" t="n">
        <v>3</v>
      </c>
      <c r="U4" t="n">
        <v>0</v>
      </c>
      <c r="V4" s="2" t="inlineStr">
        <is>
          <t>Ask
Skogsalm
Skogsödla</t>
        </is>
      </c>
      <c r="W4">
        <f>HYPERLINK("https://klasma.github.io/Logging_1427/artfynd/A 270-2025 artfynd.xlsx", "A 270-2025")</f>
        <v/>
      </c>
      <c r="X4">
        <f>HYPERLINK("https://klasma.github.io/Logging_1427/kartor/A 270-2025 karta.png", "A 270-2025")</f>
        <v/>
      </c>
      <c r="Y4">
        <f>HYPERLINK("https://klasma.github.io/Logging_1427/kartor_geotiff/A 270-2025 georefererad karta.tif", "A 270-2025")</f>
        <v/>
      </c>
      <c r="AA4">
        <f>HYPERLINK("https://klasma.github.io/Logging_1427/klagomål/A 270-2025 FSC-klagomål.docx", "A 270-2025")</f>
        <v/>
      </c>
      <c r="AB4">
        <f>HYPERLINK("https://klasma.github.io/Logging_1427/klagomålsmail/A 270-2025 FSC-klagomål mail.docx", "A 270-2025")</f>
        <v/>
      </c>
      <c r="AC4">
        <f>HYPERLINK("https://klasma.github.io/Logging_1427/tillsyn/A 270-2025 tillsynsbegäran.docx", "A 270-2025")</f>
        <v/>
      </c>
      <c r="AD4">
        <f>HYPERLINK("https://klasma.github.io/Logging_1427/tillsynsmail/A 270-2025 tillsynsbegäran mail.docx", "A 270-2025")</f>
        <v/>
      </c>
    </row>
    <row r="5" ht="15" customHeight="1">
      <c r="A5" t="inlineStr">
        <is>
          <t>A 24087-2025</t>
        </is>
      </c>
      <c r="B5" t="inlineStr">
        <is>
          <t>avverkningsanmälan</t>
        </is>
      </c>
      <c r="C5" t="inlineStr">
        <is>
          <t>Avverkning för annat ändamål</t>
        </is>
      </c>
      <c r="D5" s="1" t="n">
        <v>45795</v>
      </c>
      <c r="E5" s="1" t="n">
        <v>46309</v>
      </c>
      <c r="F5" t="inlineStr">
        <is>
          <t>VÄSTRA GÖTALANDS LÄN</t>
        </is>
      </c>
      <c r="G5" t="inlineStr">
        <is>
          <t>SOTENÄS</t>
        </is>
      </c>
      <c r="I5" t="n">
        <v>30.3</v>
      </c>
      <c r="J5" t="n">
        <v>0</v>
      </c>
      <c r="K5" t="n">
        <v>0</v>
      </c>
      <c r="L5" t="n">
        <v>1</v>
      </c>
      <c r="M5" t="n">
        <v>0</v>
      </c>
      <c r="N5" t="n">
        <v>0</v>
      </c>
      <c r="O5" t="n">
        <v>0</v>
      </c>
      <c r="P5" t="n">
        <v>0</v>
      </c>
      <c r="Q5" t="n">
        <v>1</v>
      </c>
      <c r="R5" t="n">
        <v>0</v>
      </c>
      <c r="S5" t="n">
        <v>1</v>
      </c>
      <c r="T5" t="n">
        <v>2</v>
      </c>
      <c r="U5" t="n">
        <v>1</v>
      </c>
      <c r="V5" s="2" t="inlineStr">
        <is>
          <t>Rödlånke</t>
        </is>
      </c>
      <c r="W5">
        <f>HYPERLINK("https://klasma.github.io/Logging_1427/artfynd/A 24087-2025 artfynd.xlsx", "A 24087-2025")</f>
        <v/>
      </c>
      <c r="X5">
        <f>HYPERLINK("https://klasma.github.io/Logging_1427/kartor/A 24087-2025 karta.png", "A 24087-2025")</f>
        <v/>
      </c>
      <c r="Y5">
        <f>HYPERLINK("https://klasma.github.io/Logging_1427/kartor_geotiff/A 24087-2025 georefererad karta.tif", "A 24087-2025")</f>
        <v/>
      </c>
      <c r="AA5">
        <f>HYPERLINK("https://klasma.github.io/Logging_1427/klagomål/A 24087-2025 FSC-klagomål.docx", "A 24087-2025")</f>
        <v/>
      </c>
      <c r="AB5">
        <f>HYPERLINK("https://klasma.github.io/Logging_1427/klagomålsmail/A 24087-2025 FSC-klagomål mail.docx", "A 24087-2025")</f>
        <v/>
      </c>
      <c r="AC5">
        <f>HYPERLINK("https://klasma.github.io/Logging_1427/tillsyn/A 24087-2025 tillsynsbegäran.docx", "A 24087-2025")</f>
        <v/>
      </c>
      <c r="AD5">
        <f>HYPERLINK("https://klasma.github.io/Logging_1427/tillsynsmail/A 24087-2025 tillsynsbegäran mail.docx", "A 24087-2025")</f>
        <v/>
      </c>
    </row>
    <row r="6" ht="15" customHeight="1">
      <c r="A6" t="inlineStr">
        <is>
          <t>A 23503-2025</t>
        </is>
      </c>
      <c r="B6" t="inlineStr">
        <is>
          <t>avverkningsanmälan</t>
        </is>
      </c>
      <c r="C6" t="inlineStr">
        <is>
          <t>Avverkning för annat ändamål</t>
        </is>
      </c>
      <c r="D6" s="1" t="n">
        <v>45795</v>
      </c>
      <c r="E6" s="1" t="n">
        <v>46309</v>
      </c>
      <c r="F6" t="inlineStr">
        <is>
          <t>VÄSTRA GÖTALANDS LÄN</t>
        </is>
      </c>
      <c r="G6" t="inlineStr">
        <is>
          <t>SOTENÄS</t>
        </is>
      </c>
      <c r="I6" t="n">
        <v>14.1</v>
      </c>
      <c r="J6" t="n">
        <v>1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0</v>
      </c>
      <c r="R6" t="n">
        <v>0</v>
      </c>
      <c r="S6" t="n">
        <v>1</v>
      </c>
      <c r="T6" t="n">
        <v>1</v>
      </c>
      <c r="U6" t="n">
        <v>0</v>
      </c>
      <c r="V6" s="2" t="inlineStr">
        <is>
          <t>Åkergroda</t>
        </is>
      </c>
      <c r="W6">
        <f>HYPERLINK("https://klasma.github.io/Logging_1427/artfynd/A 23503-2025 artfynd.xlsx", "A 23503-2025")</f>
        <v/>
      </c>
      <c r="X6">
        <f>HYPERLINK("https://klasma.github.io/Logging_1427/kartor/A 23503-2025 karta.png", "A 23503-2025")</f>
        <v/>
      </c>
      <c r="Y6">
        <f>HYPERLINK("https://klasma.github.io/Logging_1427/kartor_geotiff/A 23503-2025 georefererad karta.tif", "A 23503-2025")</f>
        <v/>
      </c>
      <c r="AA6">
        <f>HYPERLINK("https://klasma.github.io/Logging_1427/klagomål/A 23503-2025 FSC-klagomål.docx", "A 23503-2025")</f>
        <v/>
      </c>
      <c r="AB6">
        <f>HYPERLINK("https://klasma.github.io/Logging_1427/klagomålsmail/A 23503-2025 FSC-klagomål mail.docx", "A 23503-2025")</f>
        <v/>
      </c>
      <c r="AC6">
        <f>HYPERLINK("https://klasma.github.io/Logging_1427/tillsyn/A 23503-2025 tillsynsbegäran.docx", "A 23503-2025")</f>
        <v/>
      </c>
      <c r="AD6">
        <f>HYPERLINK("https://klasma.github.io/Logging_1427/tillsynsmail/A 23503-2025 tillsynsbegäran mail.docx", "A 23503-2025")</f>
        <v/>
      </c>
    </row>
    <row r="7" ht="15" customHeight="1">
      <c r="A7" t="inlineStr">
        <is>
          <t>A 2980-2026</t>
        </is>
      </c>
      <c r="B7" t="inlineStr">
        <is>
          <t>avverkningsanmälan</t>
        </is>
      </c>
      <c r="C7" t="inlineStr">
        <is>
          <t>Föryngringsavverkning</t>
        </is>
      </c>
      <c r="D7" s="1" t="n">
        <v>46038</v>
      </c>
      <c r="E7" s="1" t="n">
        <v>46309</v>
      </c>
      <c r="F7" t="inlineStr">
        <is>
          <t>VÄSTRA GÖTALANDS LÄN</t>
        </is>
      </c>
      <c r="G7" t="inlineStr">
        <is>
          <t>SOTENÄS</t>
        </is>
      </c>
      <c r="I7" t="n">
        <v>1.1</v>
      </c>
      <c r="J7" t="n">
        <v>1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0</v>
      </c>
      <c r="R7" t="n">
        <v>0</v>
      </c>
      <c r="S7" t="n">
        <v>1</v>
      </c>
      <c r="T7" t="n">
        <v>1</v>
      </c>
      <c r="U7" t="n">
        <v>0</v>
      </c>
      <c r="V7" s="2" t="inlineStr">
        <is>
          <t>Blåsippa</t>
        </is>
      </c>
      <c r="W7">
        <f>HYPERLINK("https://klasma.github.io/Logging_1427/artfynd/A 2980-2026 artfynd.xlsx", "A 2980-2026")</f>
        <v/>
      </c>
      <c r="X7">
        <f>HYPERLINK("https://klasma.github.io/Logging_1427/kartor/A 2980-2026 karta.png", "A 2980-2026")</f>
        <v/>
      </c>
      <c r="Y7">
        <f>HYPERLINK("https://klasma.github.io/Logging_1427/kartor_geotiff/A 2980-2026 georefererad karta.tif", "A 2980-2026")</f>
        <v/>
      </c>
      <c r="AA7">
        <f>HYPERLINK("https://klasma.github.io/Logging_1427/klagomål/A 2980-2026 FSC-klagomål.docx", "A 2980-2026")</f>
        <v/>
      </c>
      <c r="AB7">
        <f>HYPERLINK("https://klasma.github.io/Logging_1427/klagomålsmail/A 2980-2026 FSC-klagomål mail.docx", "A 2980-2026")</f>
        <v/>
      </c>
      <c r="AC7">
        <f>HYPERLINK("https://klasma.github.io/Logging_1427/tillsyn/A 2980-2026 tillsynsbegäran.docx", "A 2980-2026")</f>
        <v/>
      </c>
      <c r="AD7">
        <f>HYPERLINK("https://klasma.github.io/Logging_1427/tillsynsmail/A 2980-2026 tillsynsbegäran mail.docx", "A 2980-2026")</f>
        <v/>
      </c>
    </row>
    <row r="8" ht="15" customHeight="1">
      <c r="A8" t="inlineStr">
        <is>
          <t>A 50239-2022</t>
        </is>
      </c>
      <c r="B8" t="inlineStr">
        <is>
          <t>avverkningsanmälan</t>
        </is>
      </c>
      <c r="C8" t="inlineStr">
        <is>
          <t>Föryngringsavverkning</t>
        </is>
      </c>
      <c r="D8" s="1" t="n">
        <v>44865</v>
      </c>
      <c r="E8" s="1" t="n">
        <v>46309</v>
      </c>
      <c r="F8" t="inlineStr">
        <is>
          <t>VÄSTRA GÖTALANDS LÄN</t>
        </is>
      </c>
      <c r="G8" t="inlineStr">
        <is>
          <t>SOTENÄS</t>
        </is>
      </c>
      <c r="I8" t="n">
        <v>13.2</v>
      </c>
      <c r="J8" t="n">
        <v>0</v>
      </c>
      <c r="K8" t="n">
        <v>0</v>
      </c>
      <c r="L8" t="n">
        <v>0</v>
      </c>
      <c r="M8" t="n">
        <v>1</v>
      </c>
      <c r="N8" t="n">
        <v>0</v>
      </c>
      <c r="O8" t="n">
        <v>0</v>
      </c>
      <c r="P8" t="n">
        <v>0</v>
      </c>
      <c r="Q8" t="n">
        <v>1</v>
      </c>
      <c r="R8" t="n">
        <v>1</v>
      </c>
      <c r="S8" t="n">
        <v>1</v>
      </c>
      <c r="T8" t="n">
        <v>1</v>
      </c>
      <c r="U8" t="n">
        <v>0</v>
      </c>
      <c r="V8" s="2" t="inlineStr">
        <is>
          <t>Blockskapania</t>
        </is>
      </c>
      <c r="W8">
        <f>HYPERLINK("https://klasma.github.io/Logging_1427/artfynd/A 50239-2022 artfynd.xlsx", "A 50239-2022")</f>
        <v/>
      </c>
      <c r="X8">
        <f>HYPERLINK("https://klasma.github.io/Logging_1427/kartor/A 50239-2022 karta.png", "A 50239-2022")</f>
        <v/>
      </c>
      <c r="Y8">
        <f>HYPERLINK("https://klasma.github.io/Logging_1427/kartor_geotiff/A 50239-2022 georefererad karta.tif", "A 50239-2022")</f>
        <v/>
      </c>
      <c r="AA8">
        <f>HYPERLINK("https://klasma.github.io/Logging_1427/klagomål/A 50239-2022 FSC-klagomål.docx", "A 50239-2022")</f>
        <v/>
      </c>
      <c r="AB8">
        <f>HYPERLINK("https://klasma.github.io/Logging_1427/klagomålsmail/A 50239-2022 FSC-klagomål mail.docx", "A 50239-2022")</f>
        <v/>
      </c>
      <c r="AC8">
        <f>HYPERLINK("https://klasma.github.io/Logging_1427/tillsyn/A 50239-2022 tillsynsbegäran.docx", "A 50239-2022")</f>
        <v/>
      </c>
      <c r="AD8">
        <f>HYPERLINK("https://klasma.github.io/Logging_1427/tillsynsmail/A 50239-2022 tillsynsbegäran mail.docx", "A 50239-2022")</f>
        <v/>
      </c>
    </row>
    <row r="9" ht="15" customHeight="1">
      <c r="A9" t="inlineStr">
        <is>
          <t>A 54967-2022</t>
        </is>
      </c>
      <c r="B9" t="inlineStr">
        <is>
          <t>avverkningsanmälan</t>
        </is>
      </c>
      <c r="C9" t="inlineStr">
        <is>
          <t>Föryngringsavverkning</t>
        </is>
      </c>
      <c r="D9" s="1" t="n">
        <v>44886</v>
      </c>
      <c r="E9" s="1" t="n">
        <v>46309</v>
      </c>
      <c r="F9" t="inlineStr">
        <is>
          <t>VÄSTRA GÖTALANDS LÄN</t>
        </is>
      </c>
      <c r="G9" t="inlineStr">
        <is>
          <t>SOTENÄS</t>
        </is>
      </c>
      <c r="I9" t="n">
        <v>0.5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0</v>
      </c>
      <c r="R9" t="n">
        <v>0</v>
      </c>
      <c r="S9" t="n">
        <v>0</v>
      </c>
      <c r="T9" t="n">
        <v>0</v>
      </c>
      <c r="U9" t="n">
        <v>0</v>
      </c>
      <c r="V9" s="2" t="inlineStr"/>
    </row>
    <row r="10" ht="15" customHeight="1">
      <c r="A10" t="inlineStr">
        <is>
          <t>A 17492-2024</t>
        </is>
      </c>
      <c r="B10" t="inlineStr">
        <is>
          <t>avverkningsanmälan</t>
        </is>
      </c>
      <c r="C10" t="inlineStr">
        <is>
          <t>Föryngringsavverkning</t>
        </is>
      </c>
      <c r="D10" s="1" t="n">
        <v>45415</v>
      </c>
      <c r="E10" s="1" t="n">
        <v>46309</v>
      </c>
      <c r="F10" t="inlineStr">
        <is>
          <t>VÄSTRA GÖTALANDS LÄN</t>
        </is>
      </c>
      <c r="G10" t="inlineStr">
        <is>
          <t>SOTENÄS</t>
        </is>
      </c>
      <c r="I10" t="n">
        <v>7.7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0</v>
      </c>
      <c r="R10" t="n">
        <v>0</v>
      </c>
      <c r="S10" t="n">
        <v>0</v>
      </c>
      <c r="T10" t="n">
        <v>0</v>
      </c>
      <c r="U10" t="n">
        <v>0</v>
      </c>
      <c r="V10" s="2" t="inlineStr"/>
    </row>
    <row r="11" ht="15" customHeight="1">
      <c r="A11" t="inlineStr">
        <is>
          <t>A 17491-2024</t>
        </is>
      </c>
      <c r="B11" t="inlineStr">
        <is>
          <t>avverkningsanmälan</t>
        </is>
      </c>
      <c r="C11" t="inlineStr">
        <is>
          <t>Föryngringsavverkning</t>
        </is>
      </c>
      <c r="D11" s="1" t="n">
        <v>45415</v>
      </c>
      <c r="E11" s="1" t="n">
        <v>46309</v>
      </c>
      <c r="F11" t="inlineStr">
        <is>
          <t>VÄSTRA GÖTALANDS LÄN</t>
        </is>
      </c>
      <c r="G11" t="inlineStr">
        <is>
          <t>SOTENÄS</t>
        </is>
      </c>
      <c r="I11" t="n">
        <v>6.2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0</v>
      </c>
      <c r="R11" t="n">
        <v>0</v>
      </c>
      <c r="S11" t="n">
        <v>0</v>
      </c>
      <c r="T11" t="n">
        <v>0</v>
      </c>
      <c r="U11" t="n">
        <v>0</v>
      </c>
      <c r="V11" s="2" t="inlineStr"/>
    </row>
    <row r="12" ht="15" customHeight="1">
      <c r="A12" t="inlineStr">
        <is>
          <t>A 50864-2022</t>
        </is>
      </c>
      <c r="B12" t="inlineStr">
        <is>
          <t>avverkningsanmälan</t>
        </is>
      </c>
      <c r="C12" t="inlineStr">
        <is>
          <t>Föryngringsavverkning</t>
        </is>
      </c>
      <c r="D12" s="1" t="n">
        <v>44867</v>
      </c>
      <c r="E12" s="1" t="n">
        <v>46309</v>
      </c>
      <c r="F12" t="inlineStr">
        <is>
          <t>VÄSTRA GÖTALANDS LÄN</t>
        </is>
      </c>
      <c r="G12" t="inlineStr">
        <is>
          <t>SOTENÄS</t>
        </is>
      </c>
      <c r="I12" t="n">
        <v>3.3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0</v>
      </c>
      <c r="R12" t="n">
        <v>0</v>
      </c>
      <c r="S12" t="n">
        <v>0</v>
      </c>
      <c r="T12" t="n">
        <v>0</v>
      </c>
      <c r="U12" t="n">
        <v>0</v>
      </c>
      <c r="V12" s="2" t="inlineStr"/>
    </row>
    <row r="13" ht="15" customHeight="1">
      <c r="A13" t="inlineStr">
        <is>
          <t>A 28409-2024</t>
        </is>
      </c>
      <c r="B13" t="inlineStr">
        <is>
          <t>avverkningsanmälan</t>
        </is>
      </c>
      <c r="C13" t="inlineStr">
        <is>
          <t>Föryngringsavverkning</t>
        </is>
      </c>
      <c r="D13" s="1" t="n">
        <v>45477</v>
      </c>
      <c r="E13" s="1" t="n">
        <v>46309</v>
      </c>
      <c r="F13" t="inlineStr">
        <is>
          <t>VÄSTRA GÖTALANDS LÄN</t>
        </is>
      </c>
      <c r="G13" t="inlineStr">
        <is>
          <t>SOTENÄS</t>
        </is>
      </c>
      <c r="I13" t="n">
        <v>0.4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0</v>
      </c>
      <c r="R13" t="n">
        <v>0</v>
      </c>
      <c r="S13" t="n">
        <v>0</v>
      </c>
      <c r="T13" t="n">
        <v>0</v>
      </c>
      <c r="U13" t="n">
        <v>0</v>
      </c>
      <c r="V13" s="2" t="inlineStr"/>
    </row>
    <row r="14" ht="15" customHeight="1">
      <c r="A14" t="inlineStr">
        <is>
          <t>A 24086-2025</t>
        </is>
      </c>
      <c r="B14" t="inlineStr">
        <is>
          <t>avverkningsanmälan</t>
        </is>
      </c>
      <c r="C14" t="inlineStr">
        <is>
          <t>Avverkning för annat ändamål</t>
        </is>
      </c>
      <c r="D14" s="1" t="n">
        <v>45795</v>
      </c>
      <c r="E14" s="1" t="n">
        <v>46309</v>
      </c>
      <c r="F14" t="inlineStr">
        <is>
          <t>VÄSTRA GÖTALANDS LÄN</t>
        </is>
      </c>
      <c r="G14" t="inlineStr">
        <is>
          <t>SOTENÄS</t>
        </is>
      </c>
      <c r="I14" t="n">
        <v>0.7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t="n">
        <v>0</v>
      </c>
      <c r="S14" t="n">
        <v>0</v>
      </c>
      <c r="T14" t="n">
        <v>0</v>
      </c>
      <c r="U14" t="n">
        <v>0</v>
      </c>
      <c r="V14" s="2" t="inlineStr"/>
    </row>
    <row r="15" ht="15" customHeight="1">
      <c r="A15" t="inlineStr">
        <is>
          <t>A 46587-2024</t>
        </is>
      </c>
      <c r="B15" t="inlineStr">
        <is>
          <t>avverkningsanmälan</t>
        </is>
      </c>
      <c r="C15" t="inlineStr">
        <is>
          <t>Föryngringsavverkning</t>
        </is>
      </c>
      <c r="D15" s="1" t="n">
        <v>45582</v>
      </c>
      <c r="E15" s="1" t="n">
        <v>46309</v>
      </c>
      <c r="F15" t="inlineStr">
        <is>
          <t>VÄSTRA GÖTALANDS LÄN</t>
        </is>
      </c>
      <c r="G15" t="inlineStr">
        <is>
          <t>SOTENÄS</t>
        </is>
      </c>
      <c r="I15" t="n">
        <v>2.8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t="n">
        <v>0</v>
      </c>
      <c r="S15" t="n">
        <v>0</v>
      </c>
      <c r="T15" t="n">
        <v>0</v>
      </c>
      <c r="U15" t="n">
        <v>0</v>
      </c>
      <c r="V15" s="2" t="inlineStr"/>
    </row>
    <row r="16" ht="15" customHeight="1">
      <c r="A16" t="inlineStr">
        <is>
          <t>A 46588-2024</t>
        </is>
      </c>
      <c r="B16" t="inlineStr">
        <is>
          <t>avverkningsanmälan</t>
        </is>
      </c>
      <c r="C16" t="inlineStr">
        <is>
          <t>Föryngringsavverkning</t>
        </is>
      </c>
      <c r="D16" s="1" t="n">
        <v>45582</v>
      </c>
      <c r="E16" s="1" t="n">
        <v>46309</v>
      </c>
      <c r="F16" t="inlineStr">
        <is>
          <t>VÄSTRA GÖTALANDS LÄN</t>
        </is>
      </c>
      <c r="G16" t="inlineStr">
        <is>
          <t>SOTENÄS</t>
        </is>
      </c>
      <c r="I16" t="n">
        <v>1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t="n">
        <v>0</v>
      </c>
      <c r="S16" t="n">
        <v>0</v>
      </c>
      <c r="T16" t="n">
        <v>0</v>
      </c>
      <c r="U16" t="n">
        <v>0</v>
      </c>
      <c r="V16" s="2" t="inlineStr"/>
    </row>
    <row r="17" ht="15" customHeight="1">
      <c r="A17" t="inlineStr">
        <is>
          <t>A 52960-2025</t>
        </is>
      </c>
      <c r="B17" t="inlineStr">
        <is>
          <t>avverkningsanmälan</t>
        </is>
      </c>
      <c r="C17" t="inlineStr">
        <is>
          <t>Föryngringsavverkning</t>
        </is>
      </c>
      <c r="D17" s="1" t="n">
        <v>45956</v>
      </c>
      <c r="E17" s="1" t="n">
        <v>46309</v>
      </c>
      <c r="F17" t="inlineStr">
        <is>
          <t>VÄSTRA GÖTALANDS LÄN</t>
        </is>
      </c>
      <c r="G17" t="inlineStr">
        <is>
          <t>SOTENÄS</t>
        </is>
      </c>
      <c r="I17" t="n">
        <v>1.7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t="n">
        <v>0</v>
      </c>
      <c r="S17" t="n">
        <v>0</v>
      </c>
      <c r="T17" t="n">
        <v>0</v>
      </c>
      <c r="U17" t="n">
        <v>0</v>
      </c>
      <c r="V17" s="2" t="inlineStr"/>
    </row>
    <row r="18" ht="15" customHeight="1">
      <c r="A18" t="inlineStr">
        <is>
          <t>A 28418-2024</t>
        </is>
      </c>
      <c r="B18" t="inlineStr">
        <is>
          <t>avverkningsanmälan</t>
        </is>
      </c>
      <c r="C18" t="inlineStr">
        <is>
          <t>Föryngringsavverkning</t>
        </is>
      </c>
      <c r="D18" s="1" t="n">
        <v>45477</v>
      </c>
      <c r="E18" s="1" t="n">
        <v>46309</v>
      </c>
      <c r="F18" t="inlineStr">
        <is>
          <t>VÄSTRA GÖTALANDS LÄN</t>
        </is>
      </c>
      <c r="G18" t="inlineStr">
        <is>
          <t>SOTENÄS</t>
        </is>
      </c>
      <c r="I18" t="n">
        <v>0.2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t="n">
        <v>0</v>
      </c>
      <c r="S18" t="n">
        <v>0</v>
      </c>
      <c r="T18" t="n">
        <v>0</v>
      </c>
      <c r="U18" t="n">
        <v>0</v>
      </c>
      <c r="V18" s="2" t="inlineStr"/>
    </row>
    <row r="19" ht="15" customHeight="1">
      <c r="A19" t="inlineStr">
        <is>
          <t>A 4422-2024</t>
        </is>
      </c>
      <c r="B19" t="inlineStr">
        <is>
          <t>avverkningsanmälan</t>
        </is>
      </c>
      <c r="C19" t="inlineStr">
        <is>
          <t>Föryngringsavverkning</t>
        </is>
      </c>
      <c r="D19" s="1" t="n">
        <v>45327</v>
      </c>
      <c r="E19" s="1" t="n">
        <v>46309</v>
      </c>
      <c r="F19" t="inlineStr">
        <is>
          <t>VÄSTRA GÖTALANDS LÄN</t>
        </is>
      </c>
      <c r="G19" t="inlineStr">
        <is>
          <t>SOTENÄS</t>
        </is>
      </c>
      <c r="I19" t="n">
        <v>4.5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t="n">
        <v>0</v>
      </c>
      <c r="S19" t="n">
        <v>0</v>
      </c>
      <c r="T19" t="n">
        <v>0</v>
      </c>
      <c r="U19" t="n">
        <v>0</v>
      </c>
      <c r="V19" s="2" t="inlineStr"/>
    </row>
    <row r="20" ht="15" customHeight="1">
      <c r="A20" t="inlineStr">
        <is>
          <t>A 22789-2026</t>
        </is>
      </c>
      <c r="B20" t="inlineStr">
        <is>
          <t>avverkningsanmälan</t>
        </is>
      </c>
      <c r="C20" t="inlineStr">
        <is>
          <t>Föryngringsavverkning</t>
        </is>
      </c>
      <c r="D20" s="1" t="n">
        <v>46157</v>
      </c>
      <c r="E20" s="1" t="n">
        <v>46309</v>
      </c>
      <c r="F20" t="inlineStr">
        <is>
          <t>VÄSTRA GÖTALANDS LÄN</t>
        </is>
      </c>
      <c r="G20" t="inlineStr">
        <is>
          <t>SOTENÄS</t>
        </is>
      </c>
      <c r="I20" t="n">
        <v>2.7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t="n">
        <v>0</v>
      </c>
      <c r="S20" t="n">
        <v>0</v>
      </c>
      <c r="T20" t="n">
        <v>0</v>
      </c>
      <c r="U20" t="n">
        <v>0</v>
      </c>
      <c r="V20" s="2" t="inlineStr"/>
    </row>
    <row r="21" ht="15" customHeight="1">
      <c r="A21" t="inlineStr">
        <is>
          <t>A 59231-2024</t>
        </is>
      </c>
      <c r="B21" t="inlineStr">
        <is>
          <t>avverkningsanmälan</t>
        </is>
      </c>
      <c r="C21" t="inlineStr">
        <is>
          <t>Föryngringsavverkning</t>
        </is>
      </c>
      <c r="D21" s="1" t="n">
        <v>45637</v>
      </c>
      <c r="E21" s="1" t="n">
        <v>46309</v>
      </c>
      <c r="F21" t="inlineStr">
        <is>
          <t>VÄSTRA GÖTALANDS LÄN</t>
        </is>
      </c>
      <c r="G21" t="inlineStr">
        <is>
          <t>SOTENÄS</t>
        </is>
      </c>
      <c r="I21" t="n">
        <v>1.3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t="n">
        <v>0</v>
      </c>
      <c r="S21" t="n">
        <v>0</v>
      </c>
      <c r="T21" t="n">
        <v>0</v>
      </c>
      <c r="U21" t="n">
        <v>0</v>
      </c>
      <c r="V21" s="2" t="inlineStr"/>
    </row>
    <row r="22" ht="15" customHeight="1">
      <c r="A22" t="inlineStr">
        <is>
          <t>A 4780-2022</t>
        </is>
      </c>
      <c r="B22" t="inlineStr">
        <is>
          <t>avverkningsanmälan</t>
        </is>
      </c>
      <c r="C22" t="inlineStr">
        <is>
          <t>Föryngringsavverkning</t>
        </is>
      </c>
      <c r="D22" s="1" t="n">
        <v>44592</v>
      </c>
      <c r="E22" s="1" t="n">
        <v>46309</v>
      </c>
      <c r="F22" t="inlineStr">
        <is>
          <t>VÄSTRA GÖTALANDS LÄN</t>
        </is>
      </c>
      <c r="G22" t="inlineStr">
        <is>
          <t>SOTENÄS</t>
        </is>
      </c>
      <c r="I22" t="n">
        <v>0.9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t="n">
        <v>0</v>
      </c>
      <c r="S22" t="n">
        <v>0</v>
      </c>
      <c r="T22" t="n">
        <v>0</v>
      </c>
      <c r="U22" t="n">
        <v>0</v>
      </c>
      <c r="V22" s="2" t="inlineStr"/>
    </row>
    <row r="23" ht="15" customHeight="1">
      <c r="A23" t="inlineStr">
        <is>
          <t>A 49634-2024</t>
        </is>
      </c>
      <c r="B23" t="inlineStr">
        <is>
          <t>avverkningsanmälan</t>
        </is>
      </c>
      <c r="C23" t="inlineStr">
        <is>
          <t>Föryngringsavverkning</t>
        </is>
      </c>
      <c r="D23" s="1" t="n">
        <v>45596</v>
      </c>
      <c r="E23" s="1" t="n">
        <v>46309</v>
      </c>
      <c r="F23" t="inlineStr">
        <is>
          <t>VÄSTRA GÖTALANDS LÄN</t>
        </is>
      </c>
      <c r="G23" t="inlineStr">
        <is>
          <t>SOTENÄS</t>
        </is>
      </c>
      <c r="I23" t="n">
        <v>0.7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t="n">
        <v>0</v>
      </c>
      <c r="S23" t="n">
        <v>0</v>
      </c>
      <c r="T23" t="n">
        <v>0</v>
      </c>
      <c r="U23" t="n">
        <v>0</v>
      </c>
      <c r="V23" s="2" t="inlineStr"/>
    </row>
    <row r="24" ht="15" customHeight="1">
      <c r="A24" t="inlineStr">
        <is>
          <t>A 36765-2026</t>
        </is>
      </c>
      <c r="B24" t="inlineStr">
        <is>
          <t>avverkningsanmälan</t>
        </is>
      </c>
      <c r="C24" t="inlineStr">
        <is>
          <t>Föryngringsavverkning</t>
        </is>
      </c>
      <c r="D24" s="1" t="n">
        <v>46272</v>
      </c>
      <c r="E24" s="1" t="n">
        <v>46309</v>
      </c>
      <c r="F24" t="inlineStr">
        <is>
          <t>VÄSTRA GÖTALANDS LÄN</t>
        </is>
      </c>
      <c r="G24" t="inlineStr">
        <is>
          <t>SOTENÄS</t>
        </is>
      </c>
      <c r="I24" t="n">
        <v>0.7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t="n">
        <v>0</v>
      </c>
      <c r="S24" t="n">
        <v>0</v>
      </c>
      <c r="T24" t="n">
        <v>0</v>
      </c>
      <c r="U24" t="n">
        <v>0</v>
      </c>
      <c r="V24" s="2" t="inlineStr"/>
    </row>
    <row r="25" ht="15" customHeight="1">
      <c r="A25" t="inlineStr">
        <is>
          <t>A 49633-2024</t>
        </is>
      </c>
      <c r="B25" t="inlineStr">
        <is>
          <t>avverkningsanmälan</t>
        </is>
      </c>
      <c r="C25" t="inlineStr">
        <is>
          <t>Föryngringsavverkning</t>
        </is>
      </c>
      <c r="D25" s="1" t="n">
        <v>45596</v>
      </c>
      <c r="E25" s="1" t="n">
        <v>46309</v>
      </c>
      <c r="F25" t="inlineStr">
        <is>
          <t>VÄSTRA GÖTALANDS LÄN</t>
        </is>
      </c>
      <c r="G25" t="inlineStr">
        <is>
          <t>SOTENÄS</t>
        </is>
      </c>
      <c r="I25" t="n">
        <v>0.8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t="n">
        <v>0</v>
      </c>
      <c r="S25" t="n">
        <v>0</v>
      </c>
      <c r="T25" t="n">
        <v>0</v>
      </c>
      <c r="U25" t="n">
        <v>0</v>
      </c>
      <c r="V25" s="2" t="inlineStr"/>
    </row>
    <row r="26" ht="15" customHeight="1">
      <c r="A26" t="inlineStr">
        <is>
          <t>A 46579-2024</t>
        </is>
      </c>
      <c r="B26" t="inlineStr">
        <is>
          <t>avverkningsanmälan</t>
        </is>
      </c>
      <c r="C26" t="inlineStr">
        <is>
          <t>Föryngringsavverkning</t>
        </is>
      </c>
      <c r="D26" s="1" t="n">
        <v>45582</v>
      </c>
      <c r="E26" s="1" t="n">
        <v>46309</v>
      </c>
      <c r="F26" t="inlineStr">
        <is>
          <t>VÄSTRA GÖTALANDS LÄN</t>
        </is>
      </c>
      <c r="G26" t="inlineStr">
        <is>
          <t>SOTENÄS</t>
        </is>
      </c>
      <c r="I26" t="n">
        <v>3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t="n">
        <v>0</v>
      </c>
      <c r="S26" t="n">
        <v>0</v>
      </c>
      <c r="T26" t="n">
        <v>0</v>
      </c>
      <c r="U26" t="n">
        <v>0</v>
      </c>
      <c r="V26" s="2" t="inlineStr"/>
    </row>
    <row r="27" ht="15" customHeight="1">
      <c r="A27" t="inlineStr">
        <is>
          <t>A 28416-2024</t>
        </is>
      </c>
      <c r="B27" t="inlineStr">
        <is>
          <t>avverkningsanmälan</t>
        </is>
      </c>
      <c r="C27" t="inlineStr">
        <is>
          <t>Föryngringsavverkning</t>
        </is>
      </c>
      <c r="D27" s="1" t="n">
        <v>45477</v>
      </c>
      <c r="E27" s="1" t="n">
        <v>46309</v>
      </c>
      <c r="F27" t="inlineStr">
        <is>
          <t>VÄSTRA GÖTALANDS LÄN</t>
        </is>
      </c>
      <c r="G27" t="inlineStr">
        <is>
          <t>SOTENÄS</t>
        </is>
      </c>
      <c r="I27" t="n">
        <v>0.2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t="n">
        <v>0</v>
      </c>
      <c r="S27" t="n">
        <v>0</v>
      </c>
      <c r="T27" t="n">
        <v>0</v>
      </c>
      <c r="U27" t="n">
        <v>0</v>
      </c>
      <c r="V27" s="2" t="inlineStr"/>
    </row>
    <row r="28" ht="15" customHeight="1">
      <c r="A28" t="inlineStr">
        <is>
          <t>A 35770-2026</t>
        </is>
      </c>
      <c r="B28" t="inlineStr">
        <is>
          <t>avverkningsanmälan</t>
        </is>
      </c>
      <c r="C28" t="inlineStr">
        <is>
          <t>Föryngringsavverkning</t>
        </is>
      </c>
      <c r="D28" s="1" t="n">
        <v>46264</v>
      </c>
      <c r="E28" s="1" t="n">
        <v>46309</v>
      </c>
      <c r="F28" t="inlineStr">
        <is>
          <t>VÄSTRA GÖTALANDS LÄN</t>
        </is>
      </c>
      <c r="G28" t="inlineStr">
        <is>
          <t>SOTENÄS</t>
        </is>
      </c>
      <c r="I28" t="n">
        <v>0.9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t="n">
        <v>0</v>
      </c>
      <c r="S28" t="n">
        <v>0</v>
      </c>
      <c r="T28" t="n">
        <v>0</v>
      </c>
      <c r="U28" t="n">
        <v>0</v>
      </c>
      <c r="V28" s="2" t="inlineStr"/>
    </row>
    <row r="29">
      <c r="A29" t="inlineStr">
        <is>
          <t>S 2369-2025</t>
        </is>
      </c>
      <c r="B29" t="inlineStr">
        <is>
          <t>samrådsanmälan</t>
        </is>
      </c>
      <c r="C29" t="inlineStr">
        <is>
          <t>Annan skogsbruksåtgärd</t>
        </is>
      </c>
      <c r="D29" s="1" t="n">
        <v>45890</v>
      </c>
      <c r="E29" s="1" t="n">
        <v>46309</v>
      </c>
      <c r="F29" t="inlineStr">
        <is>
          <t>VÄSTRA GÖTALANDS LÄN</t>
        </is>
      </c>
      <c r="G29" t="inlineStr">
        <is>
          <t>SOTENÄS</t>
        </is>
      </c>
      <c r="H29" t="inlineStr">
        <is>
          <t>Kommuner</t>
        </is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t="n">
        <v>0</v>
      </c>
      <c r="S29" t="n">
        <v>0</v>
      </c>
      <c r="T29" t="n">
        <v>0</v>
      </c>
      <c r="U29" t="n">
        <v>0</v>
      </c>
      <c r="V29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2026-10-14T02:00:32Z</dcterms:created>
  <dcterms:modified xmlns:dcterms="http://purl.org/dc/terms/" xmlns:xsi="http://www.w3.org/2001/XMLSchema-instance" xsi:type="dcterms:W3CDTF">2026-10-14T02:00:33Z</dcterms:modified>
</cp:coreProperties>
</file>