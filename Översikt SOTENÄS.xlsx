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46296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46296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46296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46296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24087-2025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46296</v>
      </c>
      <c r="F6" t="inlineStr">
        <is>
          <t>VÄSTRA GÖTALANDS LÄN</t>
        </is>
      </c>
      <c r="G6" t="inlineStr">
        <is>
          <t>SOTENÄS</t>
        </is>
      </c>
      <c r="I6" t="n">
        <v>30.3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Rödlånke</t>
        </is>
      </c>
      <c r="W6">
        <f>HYPERLINK("https://klasma.github.io/Logging_1427/artfynd/A 24087-2025 artfynd.xlsx", "A 24087-2025")</f>
        <v/>
      </c>
      <c r="X6">
        <f>HYPERLINK("https://klasma.github.io/Logging_1427/kartor/A 24087-2025 karta.png", "A 24087-2025")</f>
        <v/>
      </c>
      <c r="Y6">
        <f>HYPERLINK("https://klasma.github.io/Logging_1427/kartor_geotiff/A 24087-2025 georefererad karta.tif", "A 24087-2025")</f>
        <v/>
      </c>
      <c r="AA6">
        <f>HYPERLINK("https://klasma.github.io/Logging_1427/klagomål/A 24087-2025 FSC-klagomål.docx", "A 24087-2025")</f>
        <v/>
      </c>
      <c r="AB6">
        <f>HYPERLINK("https://klasma.github.io/Logging_1427/klagomålsmail/A 24087-2025 FSC-klagomål mail.docx", "A 24087-2025")</f>
        <v/>
      </c>
      <c r="AC6">
        <f>HYPERLINK("https://klasma.github.io/Logging_1427/tillsyn/A 24087-2025 tillsynsbegäran.docx", "A 24087-2025")</f>
        <v/>
      </c>
      <c r="AD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46296</v>
      </c>
      <c r="F7" t="inlineStr">
        <is>
          <t>VÄSTRA GÖTALANDS LÄN</t>
        </is>
      </c>
      <c r="G7" t="inlineStr">
        <is>
          <t>SOTENÄS</t>
        </is>
      </c>
      <c r="I7" t="n">
        <v>14.1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Åkergroda</t>
        </is>
      </c>
      <c r="W7">
        <f>HYPERLINK("https://klasma.github.io/Logging_1427/artfynd/A 23503-2025 artfynd.xlsx", "A 23503-2025")</f>
        <v/>
      </c>
      <c r="X7">
        <f>HYPERLINK("https://klasma.github.io/Logging_1427/kartor/A 23503-2025 karta.png", "A 23503-2025")</f>
        <v/>
      </c>
      <c r="Y7">
        <f>HYPERLINK("https://klasma.github.io/Logging_1427/kartor_geotiff/A 23503-2025 georefererad karta.tif", "A 23503-2025")</f>
        <v/>
      </c>
      <c r="AA7">
        <f>HYPERLINK("https://klasma.github.io/Logging_1427/klagomål/A 23503-2025 FSC-klagomål.docx", "A 23503-2025")</f>
        <v/>
      </c>
      <c r="AB7">
        <f>HYPERLINK("https://klasma.github.io/Logging_1427/klagomålsmail/A 23503-2025 FSC-klagomål mail.docx", "A 23503-2025")</f>
        <v/>
      </c>
      <c r="AC7">
        <f>HYPERLINK("https://klasma.github.io/Logging_1427/tillsyn/A 23503-2025 tillsynsbegäran.docx", "A 23503-2025")</f>
        <v/>
      </c>
      <c r="AD7">
        <f>HYPERLINK("https://klasma.github.io/Logging_1427/tillsynsmail/A 23503-2025 tillsynsbegäran mail.docx", "A 23503-2025")</f>
        <v/>
      </c>
    </row>
    <row r="8" ht="15" customHeight="1">
      <c r="A8" t="inlineStr">
        <is>
          <t>A 2980-2026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46296</v>
      </c>
      <c r="F8" t="inlineStr">
        <is>
          <t>VÄSTRA GÖTALANDS LÄN</t>
        </is>
      </c>
      <c r="G8" t="inlineStr">
        <is>
          <t>SOTENÄS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HYPERLINK("https://klasma.github.io/Logging_1427/artfynd/A 2980-2026 artfynd.xlsx", "A 2980-2026")</f>
        <v/>
      </c>
      <c r="X8">
        <f>HYPERLINK("https://klasma.github.io/Logging_1427/kartor/A 2980-2026 karta.png", "A 2980-2026")</f>
        <v/>
      </c>
      <c r="Y8">
        <f>HYPERLINK("https://klasma.github.io/Logging_1427/kartor_geotiff/A 2980-2026 georefererad karta.tif", "A 2980-2026")</f>
        <v/>
      </c>
      <c r="AA8">
        <f>HYPERLINK("https://klasma.github.io/Logging_1427/klagomål/A 2980-2026 FSC-klagomål.docx", "A 2980-2026")</f>
        <v/>
      </c>
      <c r="AB8">
        <f>HYPERLINK("https://klasma.github.io/Logging_1427/klagomålsmail/A 2980-2026 FSC-klagomål mail.docx", "A 2980-2026")</f>
        <v/>
      </c>
      <c r="AC8">
        <f>HYPERLINK("https://klasma.github.io/Logging_1427/tillsyn/A 2980-2026 tillsynsbegäran.docx", "A 2980-2026")</f>
        <v/>
      </c>
      <c r="AD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46296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4780-2022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46296</v>
      </c>
      <c r="F10" t="inlineStr">
        <is>
          <t>VÄSTRA GÖTALANDS LÄN</t>
        </is>
      </c>
      <c r="G10" t="inlineStr">
        <is>
          <t>SOTENÄS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59231-2024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45637</v>
      </c>
      <c r="E11" s="1" t="n">
        <v>46296</v>
      </c>
      <c r="F11" t="inlineStr">
        <is>
          <t>VÄSTRA GÖTALANDS LÄN</t>
        </is>
      </c>
      <c r="G11" t="inlineStr">
        <is>
          <t>SOTENÄS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46579-2024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45582</v>
      </c>
      <c r="E12" s="1" t="n">
        <v>46296</v>
      </c>
      <c r="F12" t="inlineStr">
        <is>
          <t>VÄSTRA GÖTALANDS LÄN</t>
        </is>
      </c>
      <c r="G12" t="inlineStr">
        <is>
          <t>SOTENÄS</t>
        </is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17492-2024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45415</v>
      </c>
      <c r="E13" s="1" t="n">
        <v>46296</v>
      </c>
      <c r="F13" t="inlineStr">
        <is>
          <t>VÄSTRA GÖTALANDS LÄN</t>
        </is>
      </c>
      <c r="G13" t="inlineStr">
        <is>
          <t>SOTENÄS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46296</v>
      </c>
      <c r="F14" t="inlineStr">
        <is>
          <t>VÄSTRA GÖTALANDS LÄN</t>
        </is>
      </c>
      <c r="G14" t="inlineStr">
        <is>
          <t>SOTENÄS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46296</v>
      </c>
      <c r="F15" t="inlineStr">
        <is>
          <t>VÄSTRA GÖTALANDS LÄN</t>
        </is>
      </c>
      <c r="G15" t="inlineStr">
        <is>
          <t>SOTENÄS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28409-2024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45477</v>
      </c>
      <c r="E16" s="1" t="n">
        <v>46296</v>
      </c>
      <c r="F16" t="inlineStr">
        <is>
          <t>VÄSTRA GÖTALANDS LÄN</t>
        </is>
      </c>
      <c r="G16" t="inlineStr">
        <is>
          <t>SOTENÄS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28416-2024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45477</v>
      </c>
      <c r="E17" s="1" t="n">
        <v>46296</v>
      </c>
      <c r="F17" t="inlineStr">
        <is>
          <t>VÄSTRA GÖTALANDS LÄN</t>
        </is>
      </c>
      <c r="G17" t="inlineStr">
        <is>
          <t>SOTENÄS</t>
        </is>
      </c>
      <c r="I17" t="n">
        <v>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28418-2024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46296</v>
      </c>
      <c r="F18" t="inlineStr">
        <is>
          <t>VÄSTRA GÖTALANDS LÄN</t>
        </is>
      </c>
      <c r="G18" t="inlineStr">
        <is>
          <t>SOTENÄS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17491-2024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45415</v>
      </c>
      <c r="E19" s="1" t="n">
        <v>46296</v>
      </c>
      <c r="F19" t="inlineStr">
        <is>
          <t>VÄSTRA GÖTALANDS LÄN</t>
        </is>
      </c>
      <c r="G19" t="inlineStr">
        <is>
          <t>SOTENÄS</t>
        </is>
      </c>
      <c r="I19" t="n">
        <v>6.2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50864-2022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44867</v>
      </c>
      <c r="E20" s="1" t="n">
        <v>46296</v>
      </c>
      <c r="F20" t="inlineStr">
        <is>
          <t>VÄSTRA GÖTALANDS LÄN</t>
        </is>
      </c>
      <c r="G20" t="inlineStr">
        <is>
          <t>SOTENÄS</t>
        </is>
      </c>
      <c r="I20" t="n">
        <v>3.3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49634-2024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46296</v>
      </c>
      <c r="F21" t="inlineStr">
        <is>
          <t>VÄSTRA GÖTALANDS LÄN</t>
        </is>
      </c>
      <c r="G21" t="inlineStr">
        <is>
          <t>SOTENÄS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49633-2024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46296</v>
      </c>
      <c r="F22" t="inlineStr">
        <is>
          <t>VÄSTRA GÖTALANDS LÄN</t>
        </is>
      </c>
      <c r="G22" t="inlineStr">
        <is>
          <t>SOTENÄS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24086-2025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45795</v>
      </c>
      <c r="E23" s="1" t="n">
        <v>46296</v>
      </c>
      <c r="F23" t="inlineStr">
        <is>
          <t>VÄSTRA GÖTALANDS LÄN</t>
        </is>
      </c>
      <c r="G23" t="inlineStr">
        <is>
          <t>SOTENÄS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4422-2024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45327</v>
      </c>
      <c r="E24" s="1" t="n">
        <v>46296</v>
      </c>
      <c r="F24" t="inlineStr">
        <is>
          <t>VÄSTRA GÖTALANDS LÄN</t>
        </is>
      </c>
      <c r="G24" t="inlineStr">
        <is>
          <t>SOTENÄS</t>
        </is>
      </c>
      <c r="I24" t="n">
        <v>4.5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52960-2025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45956</v>
      </c>
      <c r="E25" s="1" t="n">
        <v>46296</v>
      </c>
      <c r="F25" t="inlineStr">
        <is>
          <t>VÄSTRA GÖTALANDS LÄN</t>
        </is>
      </c>
      <c r="G25" t="inlineStr">
        <is>
          <t>SOTENÄS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22789-2026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46296</v>
      </c>
      <c r="F26" t="inlineStr">
        <is>
          <t>VÄSTRA GÖTALANDS LÄN</t>
        </is>
      </c>
      <c r="G26" t="inlineStr">
        <is>
          <t>SOTENÄS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46272</v>
      </c>
      <c r="E27" s="1" t="n">
        <v>46296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46296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2026-10-01T02:03:32Z</dcterms:created>
  <dcterms:modified xmlns:dcterms="http://purl.org/dc/terms/" xmlns:xsi="http://www.w3.org/2001/XMLSchema-instance" xsi:type="dcterms:W3CDTF">2026-10-01T02:03:32Z</dcterms:modified>
</cp:coreProperties>
</file>